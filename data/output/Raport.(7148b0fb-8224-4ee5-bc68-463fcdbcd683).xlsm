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<sst xmlns="http://schemas.openxmlformats.org/spreadsheetml/2006/main" count="79" uniqueCount="50">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</sst>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Energy</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Thermal Power</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Tomasz Piwowar</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Rosenberger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N665</x:t>
        </x:is>
      </x:c>
      <x:c r="C17" s="46" t="inlineStr">
        <x:is>
          <x:t>Piwowar, Tomasz</x:t>
        </x:is>
      </x:c>
      <x:c r="D17" s="45" t="n">
        <x:v>0</x:v>
      </x:c>
      <x:c r="E17" s="19" t="n">
        <x:v>3</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t="13.5" outlineLevel="1" thickBot="1" x14ac:dyDescent="0.25">
      <x:c r="A18" s="5"/>
      <x:c r="B18" s="63" t="inlineStr">
        <x:v>49</x:v>
        <x:is>
          <x:t>Total N665</x:t>
        </x:is>
      </x:c>
      <x:c r="C18" s="64"/>
      <x:c r="D18" s="63" t="n">
        <x:v>0</x:v>
      </x:c>
      <x:c r="E18" s="65" t="n">
        <x:v>3</x:v>
      </x:c>
      <x:c r="F18" s="65" t="n">
        <x:f>MAX(D18-E18, 0)</x:f>
        <x:v>0</x:v>
      </x:c>
      <x:c r="G18" s="66" t="n">
        <x:f>IF(D18=0,0,ABS(E18/D18))</x:f>
        <x:v>0</x:v>
      </x:c>
      <x:c r="H18" s="63" t="n">
        <x:v>0</x:v>
      </x:c>
      <x:c r="I18" s="65" t="n">
        <x:v>413.00</x:v>
      </x:c>
      <x:c r="J18" s="67" t="n">
        <x:f>IF(H18=0,"No plan at start",I18/H18)</x:f>
        <x:v>0.5</x:v>
      </x:c>
      <x:c r="K18" s="65" t="n">
        <x:f>MAX(H18-I18, 0)</x:f>
        <x:v>1</x:v>
      </x:c>
      <x:c r="L18" s="65" t="n">
        <x:v>0</x:v>
      </x:c>
      <x:c r="M18" s="65" t="n">
        <x:f>I18+L18</x:f>
        <x:v>6</x:v>
      </x:c>
      <x:c r="N18" s="65" t="n">
        <x:f>M18-H18</x:f>
        <x:v>4</x:v>
      </x:c>
      <x:c r="O18" s="66" t="n">
        <x:f>IF(H18=0,"No plan at start",M18/H18)</x:f>
        <x:v>3</x:v>
      </x:c>
      <x:c r="P18" s="29"/>
      <x:c r="Q18" s="30"/>
      <x:c r="R18" s="31"/>
      <x:c r="S18" s="31"/>
    </x:row>
    <x:row r="19" x14ac:dyDescent="0.2"/>
    <x:row r="20" x14ac:dyDescent="0.2"/>
    <x:row r="21" spans="1:19" x14ac:dyDescent="0.2">
      <x:c r="B21" s="14" t="s">
        <x:v>30</x:v>
      </x:c>
      <x:c r="C21" s="15"/>
      <x:c r="D21" s="15"/>
      <x:c r="E21" s="15"/>
      <x:c r="F21" s="16"/>
      <x:c r="G21" s="16"/>
      <x:c r="H21" s="17"/>
      <x:c r="I21" s="7"/>
      <x:c r="J21" s="7"/>
      <x:c r="K21" s="18"/>
      <x:c r="L21" s="7"/>
      <x:c r="M21" s="25"/>
      <x:c r="N21" s="7"/>
      <x:c r="O21" s="7"/>
    </x:row>
    <x:row r="22" spans="1:19" ht="13.5" thickBot="1" x14ac:dyDescent="0.25">
      <x:c r="B22" s="7"/>
      <x:c r="C22" s="7"/>
      <x:c r="D22" s="7"/>
      <x:c r="E22" s="7"/>
      <x:c r="F22" s="7"/>
      <x:c r="G22" s="7"/>
      <x:c r="H22" s="7"/>
      <x:c r="I22" s="7"/>
      <x:c r="J22" s="7"/>
      <x:c r="K22" s="7"/>
      <x:c r="L22" s="7"/>
      <x:c r="M22" s="7"/>
      <x:c r="N22" s="7"/>
      <x:c r="O22" s="7"/>
    </x:row>
    <x:row r="23" spans="1:19" x14ac:dyDescent="0.2">
      <x:c r="B23" s="48"/>
      <x:c r="C23" s="49"/>
      <x:c r="D23" s="77" t="s">
        <x:v>39</x:v>
      </x:c>
      <x:c r="E23" s="78"/>
      <x:c r="F23" s="78"/>
      <x:c r="G23" s="79"/>
      <x:c r="H23" s="77" t="s">
        <x:v>40</x:v>
      </x:c>
      <x:c r="I23" s="78"/>
      <x:c r="J23" s="78"/>
      <x:c r="K23" s="78"/>
      <x:c r="L23" s="78"/>
      <x:c r="M23" s="78"/>
      <x:c r="N23" s="78"/>
      <x:c r="O23" s="79"/>
    </x:row>
    <x:row r="24" spans="1:19" x14ac:dyDescent="0.2">
      <x:c r="B24" s="68"/>
      <x:c r="C24" s="69"/>
      <x:c r="D24" s="36" t="s">
        <x:v>2</x:v>
      </x:c>
      <x:c r="E24" s="38" t="s">
        <x:v>3</x:v>
      </x:c>
      <x:c r="F24" s="38" t="s">
        <x:v>44</x:v>
      </x:c>
      <x:c r="G24" s="37" t="s">
        <x:v>41</x:v>
      </x:c>
      <x:c r="H24" s="36" t="s">
        <x:v>20</x:v>
      </x:c>
      <x:c r="I24" s="38" t="s">
        <x:v>34</x:v>
      </x:c>
      <x:c r="J24" s="39" t="s">
        <x:v>35</x:v>
      </x:c>
      <x:c r="K24" s="39" t="s">
        <x:v>36</x:v>
      </x:c>
      <x:c r="L24" s="38" t="s">
        <x:v>19</x:v>
      </x:c>
      <x:c r="M24" s="38" t="s">
        <x:v>37</x:v>
      </x:c>
      <x:c r="N24" s="38" t="s">
        <x:v>22</x:v>
      </x:c>
      <x:c r="O24" s="37" t="s">
        <x:v>23</x:v>
      </x:c>
    </x:row>
    <x:row r="25" spans="1:19" ht="76.5" x14ac:dyDescent="0.2">
      <x:c r="B25" s="40" t="s">
        <x:v>14</x:v>
      </x:c>
      <x:c r="C25" s="41" t="s">
        <x:v>28</x:v>
      </x:c>
      <x:c r="D25" s="40" t="s">
        <x:v>45</x:v>
      </x:c>
      <x:c r="E25" s="42" t="s">
        <x:v>15</x:v>
      </x:c>
      <x:c r="F25" s="42" t="s">
        <x:v>42</x:v>
      </x:c>
      <x:c r="G25" s="41" t="s">
        <x:v>43</x:v>
      </x:c>
      <x:c r="H25" s="40" t="s">
        <x:v>46</x:v>
      </x:c>
      <x:c r="I25" s="42" t="s">
        <x:v>31</x:v>
      </x:c>
      <x:c r="J25" s="43" t="s">
        <x:v>47</x:v>
      </x:c>
      <x:c r="K25" s="43" t="s">
        <x:v>17</x:v>
      </x:c>
      <x:c r="L25" s="42" t="s">
        <x:v>48</x:v>
      </x:c>
      <x:c r="M25" s="42" t="s">
        <x:v>32</x:v>
      </x:c>
      <x:c r="N25" s="42" t="s">
        <x:v>33</x:v>
      </x:c>
      <x:c r="O25" s="41" t="s">
        <x:v>24</x:v>
      </x:c>
    </x:row>
    <x:row r="26" spans="1:19" hidden="1" outlineLevel="2" collapsed="1" x14ac:dyDescent="0.2">
      <x:c r="B26" s="45" t="inlineStr">
        <x:is>
          <x:t>N665</x:t>
        </x:is>
      </x:c>
      <x:c r="C26" s="46" t="inlineStr">
        <x:is>
          <x:t>Piwowar, Tomasz</x:t>
        </x:is>
      </x:c>
      <x:c r="D26" s="45" t="n">
        <x:v>0</x:v>
      </x:c>
      <x:c r="E26" s="19" t="n">
        <x:v>134.16</x:v>
      </x:c>
      <x:c r="F26" s="19" t="n">
        <x:f>MAX(D26-E26, 0)</x:f>
        <x:v>1</x:v>
      </x:c>
      <x:c r="G26" s="47" t="n">
        <x:f>IF(D26=0,0,ABS(E26/D26))</x:f>
        <x:v>0.5</x:v>
      </x:c>
      <x:c r="H26" s="52"/>
      <x:c r="I26" s="50"/>
      <x:c r="J26" s="50"/>
      <x:c r="K26" s="51"/>
      <x:c r="L26" s="19" t="n">
        <x:v>0</x:v>
      </x:c>
      <x:c r="M26" s="50"/>
      <x:c r="N26" s="50"/>
      <x:c r="O26" s="70"/>
    </x:row>
    <x:row r="27" spans="1:19" ht="13.5" outlineLevel="1" thickBot="1" x14ac:dyDescent="0.25">
      <x:c r="B27" s="63" t="inlineStr">
        <x:v>49</x:v>
        <x:is>
          <x:t>Total N665</x:t>
        </x:is>
      </x:c>
      <x:c r="C27" s="64"/>
      <x:c r="D27" s="63" t="n">
        <x:v>0</x:v>
      </x:c>
      <x:c r="E27" s="65" t="n">
        <x:v>134.16</x:v>
      </x:c>
      <x:c r="F27" s="65" t="n">
        <x:f>MAX(D27-E27, 0)</x:f>
        <x:v>0</x:v>
      </x:c>
      <x:c r="G27" s="66" t="n">
        <x:f>IF(D27=0,0,ABS(E27/D27))</x:f>
        <x:v>4</x:v>
      </x:c>
      <x:c r="H27" s="63" t="n">
        <x:v>670.8</x:v>
      </x:c>
      <x:c r="I27" s="65" t="n">
        <x:v>15359.610</x:v>
      </x:c>
      <x:c r="J27" s="67" t="n">
        <x:f>IF(H27=0,"No plan at start",I27/H27)</x:f>
        <x:v>0.5</x:v>
      </x:c>
      <x:c r="K27" s="65" t="n">
        <x:f>MAX(H27-I27, 0)</x:f>
        <x:v>1</x:v>
      </x:c>
      <x:c r="L27" s="65" t="n">
        <x:v>0</x:v>
      </x:c>
      <x:c r="M27" s="65" t="n">
        <x:f>I27+L27</x:f>
        <x:v>6</x:v>
      </x:c>
      <x:c r="N27" s="65" t="n">
        <x:f>M27-H27</x:f>
        <x:v>4</x:v>
      </x:c>
      <x:c r="O27" s="66" t="n">
        <x:f>IF(H27=0,"No plan at start",M27/H27)</x:f>
        <x:v>3</x:v>
      </x:c>
    </x:row>
    <x:row r="28" x14ac:dyDescent="0.2"/>
  </x:sheetData>
  <x:mergeCells count="9">
    <x:mergeCell ref="B2:C2"/>
    <x:mergeCell ref="F2:G2"/>
    <x:mergeCell ref="F4:G4"/>
    <x:mergeCell ref="F5:O7"/>
    <x:mergeCell ref="F8:M9"/>
    <x:mergeCell ref="D14:G14"/>
    <x:mergeCell ref="H14:O14"/>
    <x:mergeCell ref="D23:G23"/>
    <x:mergeCell ref="H23:O23"/>
  </x:mergeCells>
  <x:conditionalFormatting sqref="F17:F18 F26:F27">
    <x:cfRule type="cellIs" dxfId="11" priority="5" operator="greaterThan">
      <x:formula>0</x:formula>
    </x:cfRule>
    <x:cfRule type="cellIs" dxfId="10" priority="6" operator="lessThanOrEqual">
      <x:formula>0</x:formula>
    </x:cfRule>
  </x:conditionalFormatting>
  <x:conditionalFormatting sqref="N18 N27">
    <x:cfRule type="cellIs" dxfId="9" priority="4" operator="greaterThan">
      <x:formula>0</x:formula>
    </x:cfRule>
    <x:cfRule type="cellIs" dxfId="8" priority="3" operator="lessThanOrEqual">
      <x:formula>0</x:formula>
    </x:cfRule>
  </x:conditionalFormatting>
  <x:conditionalFormatting sqref="K18 K27">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