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x:workbook xmlns:x15ac="http://schemas.microsoft.com/office/spreadsheetml/2010/11/ac" xmlns:r="http://schemas.openxmlformats.org/officeDocument/2006/relationships" xmlns:mc="http://schemas.openxmlformats.org/markup-compatibility/2006" xmlns:x15="http://schemas.microsoft.com/office/spreadsheetml/2010/11/main" xmlns:x="http://schemas.openxmlformats.org/spreadsheetml/2006/main" mc:Ignorable="x15">
  <x:fileVersion appName="xl" lastEdited="6" lowestEdited="5" rupBuild="14420" codeName="{51196F13-6AD0-C1B8-E2B4-A1F9AE17003E}"/>
  <x:workbookPr codeName="workbookTemplate" defaultThemeVersion="124226"/>
  <mc:AlternateContent xmlns:mc="http://schemas.openxmlformats.org/markup-compatibility/2006">
    <mc:Choice Requires="x15">
      <x15ac:absPath xmlns:x15ac="http://schemas.microsoft.com/office/spreadsheetml/2010/11/ac" url="D:\Repos\Remote\GitHub\ILF.Reports.ForProjectManagers\data\input\"/>
    </mc:Choice>
  </mc:AlternateContent>
  <x:bookViews>
    <x:workbookView xWindow="30465" yWindow="-15" windowWidth="15600" windowHeight="7605"/>
  </x:bookViews>
  <x:sheets>
    <x:sheet name="Report" sheetId="1" r:id="rId1"/>
  </x:sheets>
  <x:calcPr calcId="162913" fullCalcOnLoad="1" forceFullCalc="1"/>
</x:workbook>
</file>

<file path=xl/sharedStrings.xml><?xml version="1.0" encoding="utf-8"?>
<sst xmlns="http://schemas.openxmlformats.org/spreadsheetml/2006/main" count="79" uniqueCount="50">
  <si>
    <t>Division</t>
  </si>
  <si>
    <t>Division Manager</t>
  </si>
  <si>
    <t>a</t>
  </si>
  <si>
    <t>b</t>
  </si>
  <si>
    <t>Division manager remarks:</t>
  </si>
  <si>
    <t>Manhours Consumption Report</t>
  </si>
  <si>
    <t>Department</t>
  </si>
  <si>
    <t>Projects</t>
  </si>
  <si>
    <t>Area</t>
  </si>
  <si>
    <t>Team</t>
  </si>
  <si>
    <t>Team Leader</t>
  </si>
  <si>
    <t>to</t>
  </si>
  <si>
    <t>Reporting period from</t>
  </si>
  <si>
    <t>Project report -&gt; Manhours Consumption</t>
  </si>
  <si>
    <t>Project No.</t>
  </si>
  <si>
    <t>Consumed</t>
  </si>
  <si>
    <t xml:space="preserve">Total mh consumption on cut-off date
</t>
  </si>
  <si>
    <t xml:space="preserve">Remaining Discipline Budget
</t>
  </si>
  <si>
    <t>Percentage  Discipline 
Total Budget consumption on cut-off date</t>
  </si>
  <si>
    <t>i</t>
  </si>
  <si>
    <t>e</t>
  </si>
  <si>
    <t>Expected total mh consumption on Project end</t>
  </si>
  <si>
    <t xml:space="preserve">k = j - e </t>
  </si>
  <si>
    <t xml:space="preserve">l = j / e </t>
  </si>
  <si>
    <t>Expected percentage Discipline 
Total Budget consumption on Project end</t>
  </si>
  <si>
    <r>
      <t xml:space="preserve">Discipline 
Total Budget </t>
    </r>
    <r>
      <rPr>
        <i/>
        <strike/>
        <sz val="8.5"/>
        <rFont val="Arial"/>
        <family val="2"/>
      </rPr>
      <t xml:space="preserve">
</t>
    </r>
    <r>
      <rPr>
        <sz val="8"/>
        <rFont val="Arial"/>
        <family val="2"/>
      </rPr>
      <t>NOTE 1</t>
    </r>
  </si>
  <si>
    <r>
      <t xml:space="preserve">Estimate to complete 
</t>
    </r>
    <r>
      <rPr>
        <sz val="8"/>
        <rFont val="Arial"/>
        <family val="2"/>
      </rPr>
      <t>NOTE 2</t>
    </r>
  </si>
  <si>
    <r>
      <rPr>
        <b/>
        <sz val="10"/>
        <rFont val="Arial"/>
        <family val="2"/>
      </rPr>
      <t xml:space="preserve">Expected deviation from Discipline 
Total Budget on Project end </t>
    </r>
    <r>
      <rPr>
        <b/>
        <strike/>
        <sz val="10"/>
        <color rgb="FFFF0000"/>
        <rFont val="Arial"/>
        <family val="2"/>
        <charset val="238"/>
      </rPr>
      <t/>
    </r>
  </si>
  <si>
    <t>Employee</t>
  </si>
  <si>
    <t>xxx</t>
  </si>
  <si>
    <t>Project report -&gt; Manhours Cost</t>
  </si>
  <si>
    <t xml:space="preserve">
Total mh cost on cut-off date
</t>
  </si>
  <si>
    <r>
      <t xml:space="preserve">Expected total mh cost on Project end
</t>
    </r>
    <r>
      <rPr>
        <b/>
        <strike/>
        <sz val="10"/>
        <color rgb="FFFF0000"/>
        <rFont val="Arial"/>
        <family val="2"/>
        <charset val="238"/>
      </rPr>
      <t/>
    </r>
  </si>
  <si>
    <t>Expected deviation from Discipline 
Total Budget on Project end</t>
  </si>
  <si>
    <t>f</t>
  </si>
  <si>
    <t>g = f / e</t>
  </si>
  <si>
    <t>h = e - f</t>
  </si>
  <si>
    <t>j = f + i</t>
  </si>
  <si>
    <t xml:space="preserve">
Notes:
1. Discipline Total Budget is set on Project start and then in-/decreased (only on Project Manager's request) during Project life cycle based on Contract amendments, extensions, agreed with Client extra works etc.
2. Based on current PMT02.
3. Based on PMT02 from previous month.
</t>
  </si>
  <si>
    <t>MONTHLY BUDGET</t>
  </si>
  <si>
    <t>TOTAL BUDGET</t>
  </si>
  <si>
    <t>d = b / a</t>
  </si>
  <si>
    <t>Remaining</t>
  </si>
  <si>
    <t>Percentage consumption on cut-off date</t>
  </si>
  <si>
    <t>c = a - b</t>
  </si>
  <si>
    <r>
      <t xml:space="preserve">Planned
for current month
</t>
    </r>
    <r>
      <rPr>
        <sz val="8"/>
        <rFont val="Arial"/>
        <family val="2"/>
      </rPr>
      <t>NOTE 3</t>
    </r>
  </si>
  <si>
    <r>
      <t xml:space="preserve">Discipline 
Total Budget 
</t>
    </r>
    <r>
      <rPr>
        <sz val="8"/>
        <rFont val="Arial"/>
        <family val="2"/>
      </rPr>
      <t>NOTE 1</t>
    </r>
  </si>
  <si>
    <r>
      <rPr>
        <i/>
        <strike/>
        <sz val="8.5"/>
        <rFont val="Arial"/>
        <family val="2"/>
      </rPr>
      <t xml:space="preserve"> </t>
    </r>
    <r>
      <rPr>
        <b/>
        <sz val="10"/>
        <rFont val="Arial"/>
        <family val="2"/>
      </rPr>
      <t>Percentage  Discipline 
Total Budget consumption on cut-off date</t>
    </r>
  </si>
  <si>
    <r>
      <t xml:space="preserve">Estimate to complete </t>
    </r>
    <r>
      <rPr>
        <i/>
        <strike/>
        <sz val="10"/>
        <rFont val="Arial"/>
        <family val="2"/>
      </rPr>
      <t xml:space="preserve">
</t>
    </r>
    <r>
      <rPr>
        <sz val="8"/>
        <rFont val="Arial"/>
        <family val="2"/>
      </rPr>
      <t>NOTE 2</t>
    </r>
  </si>
  <si>
    <t>total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</si>
</sst>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_-* #,##0.00\ &quot;€&quot;_-;\-* #,##0.00\ &quot;€&quot;_-;_-* &quot;-&quot;??\ &quot;€&quot;_-;_-@_-"/>
    <numFmt numFmtId="165" formatCode="#,##0\ &quot;€&quot;"/>
    <numFmt numFmtId="166" formatCode="0.0%"/>
    <numFmt numFmtId="167" formatCode="dd\-mm\-yyyy"/>
  </numFmts>
  <fonts count="24" x14ac:knownFonts="1">
    <font>
      <sz val="10"/>
      <name val="Arial"/>
    </font>
    <font>
      <sz val="11"/>
      <color theme="1"/>
      <name val="Calibri"/>
      <family val="2"/>
      <charset val="238"/>
      <scheme val="minor"/>
    </font>
    <font>
      <sz val="11"/>
      <color theme="1"/>
      <name val="Calibri"/>
      <family val="2"/>
      <charset val="238"/>
    </font>
    <font>
      <b/>
      <sz val="12"/>
      <color rgb="FFFF0000"/>
      <name val="Arial"/>
      <family val="2"/>
      <charset val="238"/>
    </font>
    <font>
      <b/>
      <sz val="10"/>
      <name val="Arial"/>
      <family val="2"/>
      <charset val="238"/>
    </font>
    <font>
      <sz val="10"/>
      <name val="Arial"/>
      <family val="2"/>
    </font>
    <font>
      <b/>
      <sz val="10"/>
      <name val="Arial"/>
      <family val="2"/>
    </font>
    <font>
      <sz val="10"/>
      <name val="Arial"/>
      <family val="2"/>
      <charset val="238"/>
    </font>
    <font>
      <sz val="10"/>
      <color theme="1"/>
      <name val="Arial"/>
      <family val="2"/>
      <charset val="238"/>
    </font>
    <font>
      <sz val="10"/>
      <color theme="0" tint="-0.249977111117893"/>
      <name val="Arial"/>
      <family val="2"/>
      <charset val="238"/>
    </font>
    <font>
      <sz val="8"/>
      <name val="Arial"/>
      <family val="2"/>
      <charset val="238"/>
    </font>
    <font>
      <sz val="11"/>
      <color rgb="FF3F3F76"/>
      <name val="Calibri"/>
      <family val="2"/>
      <charset val="238"/>
      <scheme val="minor"/>
    </font>
    <font>
      <sz val="11"/>
      <color rgb="FF9C6500"/>
      <name val="Calibri"/>
      <family val="2"/>
      <charset val="238"/>
      <scheme val="minor"/>
    </font>
    <font>
      <sz val="11"/>
      <color theme="1"/>
      <name val="Calibri"/>
      <family val="2"/>
      <charset val="238"/>
      <scheme val="minor"/>
    </font>
    <font>
      <b/>
      <strike/>
      <sz val="10"/>
      <color rgb="FFFF0000"/>
      <name val="Arial"/>
      <family val="2"/>
      <charset val="238"/>
    </font>
    <font>
      <i/>
      <strike/>
      <sz val="8.5"/>
      <name val="Arial"/>
      <family val="2"/>
    </font>
    <font>
      <sz val="8"/>
      <name val="Arial"/>
      <family val="2"/>
    </font>
    <font>
      <b/>
      <strike/>
      <sz val="10"/>
      <name val="Arial"/>
      <family val="2"/>
    </font>
    <font>
      <u/>
      <sz val="10"/>
      <color theme="10"/>
      <name val="Arial"/>
      <family val="2"/>
      <charset val="238"/>
    </font>
    <font>
      <sz val="11"/>
      <color rgb="FF000000"/>
      <name val="Arial"/>
      <family val="2"/>
      <charset val="238"/>
    </font>
    <font>
      <b/>
      <sz val="13"/>
      <name val="Arial"/>
      <family val="2"/>
      <charset val="238"/>
    </font>
    <font>
      <sz val="11"/>
      <name val="Arial"/>
      <family val="2"/>
      <charset val="238"/>
    </font>
    <font>
      <i/>
      <strike/>
      <sz val="10"/>
      <name val="Arial"/>
      <family val="2"/>
    </font>
    <font>
      <b/>
      <sz val="10"/>
      <color theme="1"/>
      <name val="Arial"/>
      <family val="2"/>
      <charset val="238"/>
    </font>
  </fonts>
  <fills count="7">
    <fill>
      <patternFill patternType="none"/>
    </fill>
    <fill>
      <patternFill patternType="gray125"/>
    </fill>
    <fill>
      <patternFill patternType="solid">
        <fgColor rgb="FFFFEB9C"/>
      </patternFill>
    </fill>
    <fill>
      <patternFill patternType="solid">
        <fgColor rgb="FFFFCC99"/>
      </patternFill>
    </fill>
    <fill>
      <patternFill patternType="solid">
        <fgColor theme="4" tint="0.59999389629810485"/>
        <bgColor indexed="64"/>
      </patternFill>
    </fill>
    <fill>
      <patternFill patternType="solid">
        <fgColor theme="0" tint="-4.9989318521683403E-2"/>
        <bgColor indexed="64"/>
      </patternFill>
    </fill>
    <fill>
      <patternFill patternType="solid">
        <fgColor theme="4" tint="0.59996337778862885"/>
        <bgColor indexed="64"/>
      </patternFill>
    </fill>
  </fills>
  <borders count="34">
    <border>
      <left/>
      <right/>
      <top/>
      <bottom/>
      <diagonal/>
    </border>
    <border>
      <left style="thin">
        <color rgb="FF7F7F7F"/>
      </left>
      <right style="thin">
        <color rgb="FF7F7F7F"/>
      </right>
      <top style="thin">
        <color rgb="FF7F7F7F"/>
      </top>
      <bottom style="thin">
        <color rgb="FF7F7F7F"/>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right/>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style="medium">
        <color indexed="64"/>
      </left>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right style="medium">
        <color indexed="64"/>
      </right>
      <top style="thin">
        <color indexed="64"/>
      </top>
      <bottom/>
      <diagonal/>
    </border>
    <border>
      <left/>
      <right style="thin">
        <color indexed="64"/>
      </right>
      <top/>
      <bottom/>
      <diagonal/>
    </border>
    <border>
      <left style="thin">
        <color indexed="64"/>
      </left>
      <right/>
      <top/>
      <bottom/>
      <diagonal/>
    </border>
  </borders>
  <cellStyleXfs count="19">
    <xf numFmtId="0" fontId="0" fillId="0" borderId="0"/>
    <xf numFmtId="9" fontId="5" fillId="0" borderId="0" applyFont="0" applyFill="0" applyBorder="0" applyAlignment="0" applyProtection="0"/>
    <xf numFmtId="0" fontId="11" fillId="3" borderId="1" applyNumberFormat="0" applyAlignment="0" applyProtection="0"/>
    <xf numFmtId="0" fontId="12" fillId="2" borderId="0" applyNumberFormat="0" applyBorder="0" applyAlignment="0" applyProtection="0"/>
    <xf numFmtId="0" fontId="5" fillId="0" borderId="0"/>
    <xf numFmtId="0" fontId="7" fillId="0" borderId="0"/>
    <xf numFmtId="0" fontId="7" fillId="0" borderId="0"/>
    <xf numFmtId="0" fontId="7" fillId="0" borderId="0"/>
    <xf numFmtId="0" fontId="7" fillId="0" borderId="0"/>
    <xf numFmtId="0" fontId="13" fillId="0" borderId="0"/>
    <xf numFmtId="0" fontId="13" fillId="0" borderId="0"/>
    <xf numFmtId="0" fontId="7" fillId="0" borderId="0"/>
    <xf numFmtId="0" fontId="7" fillId="0" borderId="0"/>
    <xf numFmtId="0" fontId="2" fillId="0" borderId="0"/>
    <xf numFmtId="9" fontId="5" fillId="0" borderId="0" applyFont="0" applyFill="0" applyBorder="0" applyAlignment="0" applyProtection="0"/>
    <xf numFmtId="164" fontId="5" fillId="0" borderId="0" applyFont="0" applyFill="0" applyBorder="0" applyAlignment="0" applyProtection="0"/>
    <xf numFmtId="0" fontId="18" fillId="0" borderId="0" applyNumberFormat="0" applyFill="0" applyBorder="0" applyAlignment="0" applyProtection="0"/>
    <xf numFmtId="0" fontId="1" fillId="0" borderId="0"/>
    <xf numFmtId="0" fontId="1" fillId="0" borderId="0"/>
  </cellStyleXfs>
  <cellXfs count="101">
    <xf numFmtId="0" fontId="0" fillId="0" borderId="0" xfId="0"/>
    <xf numFmtId="2" fontId="3" fillId="0" borderId="2" xfId="0" applyNumberFormat="1" applyFont="1" applyBorder="1" applyAlignment="1" applyProtection="1">
      <alignment horizontal="center" vertical="center" wrapText="1"/>
      <protection locked="0"/>
    </xf>
    <xf numFmtId="2" fontId="3" fillId="0" borderId="3" xfId="0" applyNumberFormat="1" applyFont="1" applyBorder="1" applyAlignment="1" applyProtection="1">
      <alignment horizontal="center" vertical="center" wrapText="1"/>
      <protection locked="0"/>
    </xf>
    <xf numFmtId="0" fontId="0" fillId="0" borderId="3" xfId="0" applyBorder="1" applyProtection="1">
      <protection locked="0"/>
    </xf>
    <xf numFmtId="0" fontId="0" fillId="0" borderId="0" xfId="0" applyProtection="1">
      <protection locked="0"/>
    </xf>
    <xf numFmtId="0" fontId="0" fillId="0" borderId="5" xfId="0" applyBorder="1" applyProtection="1">
      <protection locked="0"/>
    </xf>
    <xf numFmtId="2" fontId="3" fillId="0" borderId="0" xfId="0" applyNumberFormat="1" applyFont="1" applyBorder="1" applyAlignment="1" applyProtection="1">
      <alignment horizontal="center" vertical="center" wrapText="1"/>
      <protection locked="0"/>
    </xf>
    <xf numFmtId="0" fontId="0" fillId="0" borderId="0" xfId="0" applyBorder="1" applyProtection="1">
      <protection locked="0"/>
    </xf>
    <xf numFmtId="0" fontId="4" fillId="0" borderId="2" xfId="0" applyFont="1" applyBorder="1" applyAlignment="1" applyProtection="1">
      <alignment horizontal="center" vertical="center"/>
      <protection locked="0"/>
    </xf>
    <xf numFmtId="0" fontId="4" fillId="0" borderId="5" xfId="0" applyFont="1" applyBorder="1" applyAlignment="1" applyProtection="1">
      <alignment horizontal="center" vertical="center"/>
      <protection locked="0"/>
    </xf>
    <xf numFmtId="0" fontId="5" fillId="0" borderId="9" xfId="0" applyFont="1" applyBorder="1" applyAlignment="1" applyProtection="1">
      <alignment horizontal="center" vertical="center"/>
      <protection locked="0"/>
    </xf>
    <xf numFmtId="0" fontId="4" fillId="0" borderId="10" xfId="0" applyFont="1" applyBorder="1" applyAlignment="1" applyProtection="1">
      <alignment horizontal="center" vertical="center"/>
      <protection locked="0"/>
    </xf>
    <xf numFmtId="0" fontId="4" fillId="0" borderId="0" xfId="0" applyFont="1" applyBorder="1" applyAlignment="1" applyProtection="1">
      <alignment horizontal="center" vertical="center"/>
      <protection locked="0"/>
    </xf>
    <xf numFmtId="0" fontId="5" fillId="0" borderId="0" xfId="0" applyFont="1" applyBorder="1" applyAlignment="1" applyProtection="1">
      <alignment horizontal="center" vertical="center"/>
      <protection locked="0"/>
    </xf>
    <xf numFmtId="0" fontId="6" fillId="0" borderId="0" xfId="0" applyFont="1" applyBorder="1" applyAlignment="1" applyProtection="1">
      <alignment horizontal="left"/>
      <protection locked="0"/>
    </xf>
    <xf numFmtId="0" fontId="6" fillId="0" borderId="0" xfId="0" applyFont="1" applyBorder="1" applyProtection="1">
      <protection locked="0"/>
    </xf>
    <xf numFmtId="0" fontId="7" fillId="0" borderId="0" xfId="0" applyFont="1" applyBorder="1" applyProtection="1">
      <protection locked="0"/>
    </xf>
    <xf numFmtId="165" fontId="0" fillId="0" borderId="0" xfId="0" applyNumberFormat="1" applyBorder="1" applyProtection="1">
      <protection locked="0"/>
    </xf>
    <xf numFmtId="10" fontId="0" fillId="0" borderId="0" xfId="0" applyNumberFormat="1" applyBorder="1" applyProtection="1">
      <protection locked="0"/>
    </xf>
    <xf numFmtId="3" fontId="8" fillId="0" borderId="12" xfId="0" applyNumberFormat="1" applyFont="1" applyBorder="1" applyAlignment="1" applyProtection="1">
      <alignment horizontal="center" vertical="center"/>
      <protection locked="0"/>
    </xf>
    <xf numFmtId="0" fontId="0" fillId="0" borderId="0" xfId="0" applyBorder="1" applyAlignment="1" applyProtection="1">
      <alignment horizontal="center" vertical="center"/>
      <protection locked="0"/>
    </xf>
    <xf numFmtId="14" fontId="4" fillId="0" borderId="7" xfId="0" applyNumberFormat="1" applyFont="1" applyBorder="1" applyAlignment="1" applyProtection="1">
      <alignment horizontal="center" vertical="center"/>
      <protection locked="0"/>
    </xf>
    <xf numFmtId="0" fontId="7" fillId="0" borderId="4" xfId="0" applyFont="1" applyBorder="1" applyAlignment="1" applyProtection="1">
      <alignment horizontal="center" vertical="center"/>
      <protection locked="0"/>
    </xf>
    <xf numFmtId="0" fontId="7" fillId="0" borderId="9" xfId="0" applyFont="1" applyBorder="1" applyAlignment="1" applyProtection="1">
      <alignment horizontal="center" vertical="center"/>
      <protection locked="0"/>
    </xf>
    <xf numFmtId="0" fontId="18" fillId="0" borderId="11" xfId="16" applyBorder="1" applyAlignment="1" applyProtection="1">
      <alignment horizontal="center" vertical="center"/>
      <protection locked="0"/>
    </xf>
    <xf numFmtId="3" fontId="0" fillId="0" borderId="0" xfId="0" applyNumberFormat="1" applyBorder="1" applyProtection="1">
      <protection locked="0"/>
    </xf>
    <xf numFmtId="0" fontId="20" fillId="0" borderId="0" xfId="0" applyFont="1" applyBorder="1" applyAlignment="1" applyProtection="1">
      <alignment horizontal="center" vertical="center"/>
      <protection locked="0"/>
    </xf>
    <xf numFmtId="0" fontId="7" fillId="0" borderId="0" xfId="0" applyFont="1" applyBorder="1" applyAlignment="1" applyProtection="1">
      <alignment horizontal="center" vertical="center"/>
      <protection locked="0"/>
    </xf>
    <xf numFmtId="0" fontId="18" fillId="0" borderId="0" xfId="16" applyBorder="1" applyAlignment="1" applyProtection="1">
      <alignment horizontal="center" vertical="center"/>
      <protection locked="0"/>
    </xf>
    <xf numFmtId="10" fontId="9" fillId="0" borderId="0" xfId="0" applyNumberFormat="1" applyFont="1" applyBorder="1" applyProtection="1">
      <protection locked="0"/>
    </xf>
    <xf numFmtId="10" fontId="0" fillId="0" borderId="0" xfId="1" applyNumberFormat="1" applyFont="1" applyBorder="1" applyAlignment="1" applyProtection="1">
      <alignment horizontal="right" vertical="center"/>
      <protection locked="0"/>
    </xf>
    <xf numFmtId="0" fontId="5" fillId="0" borderId="0" xfId="0" applyFont="1" applyBorder="1" applyAlignment="1" applyProtection="1">
      <alignment horizontal="left"/>
      <protection locked="0"/>
    </xf>
    <xf numFmtId="167" fontId="4" fillId="0" borderId="7" xfId="0" applyNumberFormat="1" applyFont="1" applyBorder="1" applyAlignment="1" applyProtection="1">
      <alignment horizontal="center" vertical="center"/>
      <protection locked="0"/>
    </xf>
    <xf numFmtId="167" fontId="4" fillId="0" borderId="8" xfId="0" applyNumberFormat="1" applyFont="1" applyBorder="1" applyAlignment="1" applyProtection="1">
      <alignment horizontal="center" vertical="center"/>
      <protection locked="0"/>
    </xf>
    <xf numFmtId="0" fontId="4" fillId="0" borderId="6" xfId="0" applyFont="1" applyBorder="1" applyAlignment="1" applyProtection="1">
      <alignment horizontal="center" vertical="center"/>
      <protection locked="0"/>
    </xf>
    <xf numFmtId="0" fontId="7" fillId="0" borderId="8" xfId="0" applyFont="1" applyBorder="1" applyAlignment="1" applyProtection="1">
      <alignment horizontal="center" vertical="center"/>
      <protection locked="0"/>
    </xf>
    <xf numFmtId="0" fontId="6" fillId="4" borderId="17" xfId="0" applyFont="1" applyFill="1" applyBorder="1" applyAlignment="1" applyProtection="1">
      <alignment horizontal="center" vertical="center"/>
    </xf>
    <xf numFmtId="0" fontId="6" fillId="4" borderId="18" xfId="0" applyFont="1" applyFill="1" applyBorder="1" applyAlignment="1" applyProtection="1">
      <alignment horizontal="center" vertical="center"/>
    </xf>
    <xf numFmtId="0" fontId="6" fillId="4" borderId="12" xfId="0" applyFont="1" applyFill="1" applyBorder="1" applyAlignment="1" applyProtection="1">
      <alignment horizontal="center" vertical="center"/>
    </xf>
    <xf numFmtId="0" fontId="6" fillId="5" borderId="12" xfId="0" applyFont="1" applyFill="1" applyBorder="1" applyAlignment="1" applyProtection="1">
      <alignment horizontal="center" vertical="center"/>
    </xf>
    <xf numFmtId="0" fontId="6" fillId="4" borderId="17" xfId="0" applyFont="1" applyFill="1" applyBorder="1" applyAlignment="1" applyProtection="1">
      <alignment horizontal="center" vertical="center" wrapText="1"/>
    </xf>
    <xf numFmtId="0" fontId="6" fillId="4" borderId="18" xfId="0" applyFont="1" applyFill="1" applyBorder="1" applyAlignment="1" applyProtection="1">
      <alignment horizontal="center" vertical="center" wrapText="1"/>
    </xf>
    <xf numFmtId="0" fontId="6" fillId="4" borderId="12" xfId="0" applyFont="1" applyFill="1" applyBorder="1" applyAlignment="1" applyProtection="1">
      <alignment horizontal="center" vertical="center" wrapText="1"/>
    </xf>
    <xf numFmtId="0" fontId="6" fillId="5" borderId="12" xfId="0" applyFont="1" applyFill="1" applyBorder="1" applyAlignment="1" applyProtection="1">
      <alignment horizontal="center" vertical="center" wrapText="1"/>
    </xf>
    <xf numFmtId="0" fontId="17" fillId="4" borderId="12" xfId="0" applyFont="1" applyFill="1" applyBorder="1" applyAlignment="1" applyProtection="1">
      <alignment horizontal="center" vertical="center" wrapText="1"/>
    </xf>
    <xf numFmtId="3" fontId="8" fillId="0" borderId="17" xfId="0" applyNumberFormat="1" applyFont="1" applyBorder="1" applyAlignment="1" applyProtection="1">
      <alignment horizontal="center" vertical="center"/>
      <protection locked="0"/>
    </xf>
    <xf numFmtId="3" fontId="8" fillId="0" borderId="18" xfId="0" applyNumberFormat="1" applyFont="1" applyBorder="1" applyAlignment="1" applyProtection="1">
      <alignment horizontal="center" vertical="center"/>
      <protection locked="0"/>
    </xf>
    <xf numFmtId="166" fontId="8" fillId="0" borderId="18" xfId="0" applyNumberFormat="1" applyFont="1" applyBorder="1" applyAlignment="1" applyProtection="1">
      <alignment horizontal="center" vertical="center"/>
      <protection locked="0"/>
    </xf>
    <xf numFmtId="0" fontId="6" fillId="4" borderId="2" xfId="0" applyFont="1" applyFill="1" applyBorder="1" applyAlignment="1" applyProtection="1">
      <alignment horizontal="center" vertical="center"/>
    </xf>
    <xf numFmtId="0" fontId="6" fillId="4" borderId="4" xfId="0" applyFont="1" applyFill="1" applyBorder="1" applyAlignment="1" applyProtection="1">
      <alignment horizontal="center" vertical="center"/>
    </xf>
    <xf numFmtId="3" fontId="8" fillId="0" borderId="24" xfId="0" applyNumberFormat="1" applyFont="1" applyBorder="1" applyAlignment="1" applyProtection="1">
      <alignment horizontal="center" vertical="center"/>
      <protection locked="0"/>
    </xf>
    <xf numFmtId="3" fontId="8" fillId="0" borderId="25" xfId="0" applyNumberFormat="1" applyFont="1" applyBorder="1" applyAlignment="1" applyProtection="1">
      <alignment horizontal="center" vertical="center"/>
      <protection locked="0"/>
    </xf>
    <xf numFmtId="3" fontId="8" fillId="0" borderId="27" xfId="0" applyNumberFormat="1" applyFont="1" applyBorder="1" applyAlignment="1" applyProtection="1">
      <alignment horizontal="center" vertical="center"/>
      <protection locked="0"/>
    </xf>
    <xf numFmtId="3" fontId="8" fillId="0" borderId="19" xfId="0" applyNumberFormat="1" applyFont="1" applyBorder="1" applyAlignment="1" applyProtection="1">
      <alignment horizontal="center" vertical="center"/>
      <protection locked="0"/>
    </xf>
    <xf numFmtId="3" fontId="8" fillId="0" borderId="28" xfId="0" applyNumberFormat="1" applyFont="1" applyBorder="1" applyAlignment="1" applyProtection="1">
      <alignment horizontal="center" vertical="center"/>
      <protection locked="0"/>
    </xf>
    <xf numFmtId="3" fontId="8" fillId="0" borderId="29" xfId="0" applyNumberFormat="1" applyFont="1" applyBorder="1" applyAlignment="1" applyProtection="1">
      <alignment horizontal="center" vertical="center"/>
      <protection locked="0"/>
    </xf>
    <xf numFmtId="3" fontId="8" fillId="0" borderId="26" xfId="0" applyNumberFormat="1" applyFont="1" applyBorder="1" applyAlignment="1" applyProtection="1">
      <alignment horizontal="center" vertical="center"/>
      <protection locked="0"/>
    </xf>
    <xf numFmtId="3" fontId="8" fillId="0" borderId="30" xfId="0" applyNumberFormat="1" applyFont="1" applyBorder="1" applyAlignment="1" applyProtection="1">
      <alignment horizontal="center" vertical="center"/>
      <protection locked="0"/>
    </xf>
    <xf numFmtId="3" fontId="23" fillId="5" borderId="17" xfId="0" applyNumberFormat="1" applyFont="1" applyFill="1" applyBorder="1" applyAlignment="1" applyProtection="1">
      <alignment horizontal="center" vertical="center"/>
      <protection locked="0"/>
    </xf>
    <xf numFmtId="3" fontId="23" fillId="5" borderId="18" xfId="0" applyNumberFormat="1" applyFont="1" applyFill="1" applyBorder="1" applyAlignment="1" applyProtection="1">
      <alignment horizontal="center" vertical="center"/>
      <protection locked="0"/>
    </xf>
    <xf numFmtId="3" fontId="23" fillId="5" borderId="12" xfId="0" applyNumberFormat="1" applyFont="1" applyFill="1" applyBorder="1" applyAlignment="1" applyProtection="1">
      <alignment horizontal="center" vertical="center"/>
      <protection locked="0"/>
    </xf>
    <xf numFmtId="166" fontId="23" fillId="5" borderId="18" xfId="0" applyNumberFormat="1" applyFont="1" applyFill="1" applyBorder="1" applyAlignment="1" applyProtection="1">
      <alignment horizontal="center" vertical="center"/>
      <protection locked="0"/>
    </xf>
    <xf numFmtId="166" fontId="23" fillId="5" borderId="12" xfId="0" applyNumberFormat="1" applyFont="1" applyFill="1" applyBorder="1" applyAlignment="1" applyProtection="1">
      <alignment horizontal="center" vertical="center"/>
      <protection locked="0"/>
    </xf>
    <xf numFmtId="3" fontId="23" fillId="5" borderId="21" xfId="0" applyNumberFormat="1" applyFont="1" applyFill="1" applyBorder="1" applyAlignment="1" applyProtection="1">
      <alignment horizontal="center" vertical="center"/>
      <protection locked="0"/>
    </xf>
    <xf numFmtId="3" fontId="23" fillId="5" borderId="22" xfId="0" applyNumberFormat="1" applyFont="1" applyFill="1" applyBorder="1" applyAlignment="1" applyProtection="1">
      <alignment horizontal="center" vertical="center"/>
      <protection locked="0"/>
    </xf>
    <xf numFmtId="3" fontId="23" fillId="5" borderId="23" xfId="0" applyNumberFormat="1" applyFont="1" applyFill="1" applyBorder="1" applyAlignment="1" applyProtection="1">
      <alignment horizontal="center" vertical="center"/>
      <protection locked="0"/>
    </xf>
    <xf numFmtId="166" fontId="23" fillId="5" borderId="22" xfId="0" applyNumberFormat="1" applyFont="1" applyFill="1" applyBorder="1" applyAlignment="1" applyProtection="1">
      <alignment horizontal="center" vertical="center"/>
      <protection locked="0"/>
    </xf>
    <xf numFmtId="166" fontId="23" fillId="5" borderId="23" xfId="0" applyNumberFormat="1" applyFont="1" applyFill="1" applyBorder="1" applyAlignment="1" applyProtection="1">
      <alignment horizontal="center" vertical="center"/>
      <protection locked="0"/>
    </xf>
    <xf numFmtId="0" fontId="0" fillId="6" borderId="19" xfId="0" applyFill="1" applyBorder="1" applyAlignment="1">
      <alignment horizontal="center" vertical="center"/>
    </xf>
    <xf numFmtId="0" fontId="0" fillId="6" borderId="20" xfId="0" applyFill="1" applyBorder="1" applyAlignment="1">
      <alignment horizontal="center" vertical="center"/>
    </xf>
    <xf numFmtId="3" fontId="8" fillId="0" borderId="31" xfId="0" applyNumberFormat="1" applyFont="1" applyBorder="1" applyAlignment="1" applyProtection="1">
      <alignment horizontal="center" vertical="center"/>
      <protection locked="0"/>
    </xf>
    <xf numFmtId="3" fontId="8" fillId="0" borderId="20" xfId="0" applyNumberFormat="1" applyFont="1" applyBorder="1" applyAlignment="1" applyProtection="1">
      <alignment horizontal="center" vertical="center"/>
      <protection locked="0"/>
    </xf>
    <xf numFmtId="0" fontId="6" fillId="4" borderId="14" xfId="0" applyFont="1" applyFill="1" applyBorder="1" applyAlignment="1" applyProtection="1">
      <alignment horizontal="center" vertical="center"/>
    </xf>
    <xf numFmtId="0" fontId="6" fillId="4" borderId="16" xfId="0" applyFont="1" applyFill="1" applyBorder="1" applyAlignment="1" applyProtection="1">
      <alignment horizontal="center" vertical="center"/>
    </xf>
    <xf numFmtId="0" fontId="6" fillId="4" borderId="15" xfId="0" applyFont="1" applyFill="1" applyBorder="1" applyAlignment="1" applyProtection="1">
      <alignment horizontal="center" vertical="center"/>
    </xf>
    <xf numFmtId="0" fontId="20" fillId="0" borderId="2" xfId="0" applyFont="1" applyBorder="1" applyAlignment="1" applyProtection="1">
      <alignment horizontal="center" vertical="center"/>
      <protection locked="0"/>
    </xf>
    <xf numFmtId="0" fontId="20" fillId="0" borderId="4" xfId="0" applyFont="1" applyBorder="1" applyAlignment="1" applyProtection="1">
      <alignment horizontal="center" vertical="center"/>
      <protection locked="0"/>
    </xf>
    <xf numFmtId="14" fontId="4" fillId="0" borderId="6" xfId="0" applyNumberFormat="1" applyFont="1" applyBorder="1" applyAlignment="1" applyProtection="1">
      <alignment horizontal="center" vertical="center"/>
      <protection locked="0"/>
    </xf>
    <xf numFmtId="0" fontId="0" fillId="0" borderId="7" xfId="0" applyBorder="1" applyAlignment="1">
      <alignment horizontal="center" vertical="center"/>
    </xf>
    <xf numFmtId="0" fontId="0" fillId="0" borderId="0" xfId="0" applyBorder="1" applyAlignment="1" applyProtection="1">
      <protection locked="0"/>
    </xf>
    <xf numFmtId="0" fontId="0" fillId="0" borderId="0" xfId="0" applyBorder="1" applyAlignment="1"/>
    <xf numFmtId="0" fontId="21" fillId="0" borderId="2" xfId="0" applyFont="1" applyBorder="1" applyAlignment="1" applyProtection="1">
      <alignment horizontal="left" vertical="top"/>
      <protection locked="0"/>
    </xf>
    <xf numFmtId="0" fontId="21" fillId="0" borderId="3" xfId="0" applyFont="1" applyBorder="1" applyAlignment="1" applyProtection="1">
      <alignment horizontal="left" vertical="top"/>
      <protection locked="0"/>
    </xf>
    <xf numFmtId="0" fontId="21" fillId="0" borderId="3" xfId="0" applyFont="1" applyBorder="1" applyAlignment="1">
      <alignment horizontal="left" vertical="top"/>
    </xf>
    <xf numFmtId="0" fontId="21" fillId="0" borderId="4" xfId="0" applyFont="1" applyBorder="1" applyAlignment="1">
      <alignment horizontal="left" vertical="top"/>
    </xf>
    <xf numFmtId="0" fontId="21" fillId="0" borderId="5" xfId="0" applyFont="1" applyBorder="1" applyAlignment="1" applyProtection="1">
      <alignment horizontal="left" vertical="top"/>
      <protection locked="0"/>
    </xf>
    <xf numFmtId="0" fontId="21" fillId="0" borderId="0" xfId="0" applyFont="1" applyBorder="1" applyAlignment="1" applyProtection="1">
      <alignment horizontal="left" vertical="top"/>
      <protection locked="0"/>
    </xf>
    <xf numFmtId="0" fontId="21" fillId="0" borderId="0" xfId="0" applyFont="1" applyBorder="1" applyAlignment="1">
      <alignment horizontal="left" vertical="top"/>
    </xf>
    <xf numFmtId="0" fontId="21" fillId="0" borderId="9" xfId="0" applyFont="1" applyBorder="1" applyAlignment="1">
      <alignment horizontal="left" vertical="top"/>
    </xf>
    <xf numFmtId="0" fontId="21" fillId="0" borderId="10" xfId="0" applyFont="1" applyBorder="1" applyAlignment="1" applyProtection="1">
      <alignment horizontal="left" vertical="top"/>
      <protection locked="0"/>
    </xf>
    <xf numFmtId="0" fontId="21" fillId="0" borderId="13" xfId="0" applyFont="1" applyBorder="1" applyAlignment="1" applyProtection="1">
      <alignment horizontal="left" vertical="top"/>
      <protection locked="0"/>
    </xf>
    <xf numFmtId="0" fontId="21" fillId="0" borderId="13" xfId="0" applyFont="1" applyBorder="1" applyAlignment="1">
      <alignment horizontal="left" vertical="top"/>
    </xf>
    <xf numFmtId="0" fontId="21" fillId="0" borderId="11" xfId="0" applyFont="1" applyBorder="1" applyAlignment="1">
      <alignment horizontal="left" vertical="top"/>
    </xf>
    <xf numFmtId="0" fontId="10" fillId="0" borderId="3" xfId="0" applyFont="1" applyBorder="1" applyAlignment="1" applyProtection="1">
      <alignment horizontal="left" vertical="distributed" wrapText="1"/>
      <protection locked="0"/>
    </xf>
    <xf numFmtId="0" fontId="0" fillId="0" borderId="3" xfId="0" applyBorder="1" applyAlignment="1">
      <alignment horizontal="left" vertical="distributed" wrapText="1"/>
    </xf>
    <xf numFmtId="0" fontId="0" fillId="0" borderId="0" xfId="0" applyAlignment="1">
      <alignment horizontal="left" vertical="distributed" wrapText="1"/>
    </xf>
    <xf numFmtId="3" fontId="8" fillId="0" borderId="5" xfId="0" applyNumberFormat="1" applyFont="1" applyBorder="1" applyAlignment="1" applyProtection="1">
      <alignment horizontal="center" vertical="center"/>
      <protection locked="0"/>
    </xf>
    <xf numFmtId="3" fontId="8" fillId="0" borderId="0" xfId="0" applyNumberFormat="1" applyFont="1" applyBorder="1" applyAlignment="1" applyProtection="1">
      <alignment horizontal="center" vertical="center"/>
      <protection locked="0"/>
    </xf>
    <xf numFmtId="3" fontId="8" fillId="0" borderId="32" xfId="0" applyNumberFormat="1" applyFont="1" applyBorder="1" applyAlignment="1" applyProtection="1">
      <alignment horizontal="center" vertical="center"/>
      <protection locked="0"/>
    </xf>
    <xf numFmtId="3" fontId="8" fillId="0" borderId="33" xfId="0" applyNumberFormat="1" applyFont="1" applyBorder="1" applyAlignment="1" applyProtection="1">
      <alignment horizontal="center" vertical="center"/>
      <protection locked="0"/>
    </xf>
    <xf numFmtId="3" fontId="8" fillId="0" borderId="9" xfId="0" applyNumberFormat="1" applyFont="1" applyBorder="1" applyAlignment="1" applyProtection="1">
      <alignment horizontal="center" vertical="center"/>
      <protection locked="0"/>
    </xf>
  </cellXfs>
  <cellStyles count="19">
    <cellStyle name="Dane wejściowe 2" xfId="2"/>
    <cellStyle name="Hiperłącze" xfId="16" builtinId="8"/>
    <cellStyle name="Neutralne 2" xfId="3"/>
    <cellStyle name="Normal 2" xfId="4"/>
    <cellStyle name="Normalny" xfId="0" builtinId="0"/>
    <cellStyle name="Normalny 2" xfId="5"/>
    <cellStyle name="Normalny 2 2" xfId="6"/>
    <cellStyle name="Normalny 2 2 2" xfId="7"/>
    <cellStyle name="Normalny 2 3" xfId="8"/>
    <cellStyle name="Normalny 3" xfId="9"/>
    <cellStyle name="Normalny 3 2" xfId="10"/>
    <cellStyle name="Normalny 3 2 2" xfId="18"/>
    <cellStyle name="Normalny 3 3" xfId="17"/>
    <cellStyle name="Normalny 4" xfId="11"/>
    <cellStyle name="Normalny 5" xfId="12"/>
    <cellStyle name="Normalny 6" xfId="13"/>
    <cellStyle name="Procentowy" xfId="1" builtinId="5"/>
    <cellStyle name="Procentowy 2" xfId="14"/>
    <cellStyle name="Walutowy 2" xfId="15"/>
  </cellStyles>
  <dxfs count="2">
    <dxf>
      <font>
        <color rgb="FF9C0006"/>
      </font>
      <fill>
        <patternFill>
          <bgColor rgb="FFFFC7CE"/>
        </patternFill>
      </fill>
    </dxf>
    <dxf>
      <font>
        <color rgb="FF006100"/>
      </font>
      <fill>
        <patternFill>
          <bgColor rgb="FFC6EFCE"/>
        </patternFill>
      </fill>
    </dxf>
  </dxfs>
  <tableStyles count="0" defaultTableStyle="TableStyleMedium2" defaultPivotStyle="PivotStyleLight16"/>
  <colors>
    <mruColors>
      <color rgb="FFFFCC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&#65279;<?xml version="1.0" encoding="utf-8"?><Relationships xmlns="http://schemas.openxmlformats.org/package/2006/relationships"><Relationship Type="http://schemas.openxmlformats.org/officeDocument/2006/relationships/styles" Target="styles.xml" Id="rId3" /><Relationship Type="http://schemas.openxmlformats.org/officeDocument/2006/relationships/theme" Target="theme/theme1.xml" Id="rId2" /><Relationship Type="http://schemas.openxmlformats.org/officeDocument/2006/relationships/worksheet" Target="worksheets/sheet1.xml" Id="rId1" /><Relationship Type="http://schemas.microsoft.com/office/2006/relationships/vbaProject" Target="vbaProject.bin" Id="rId6" /><Relationship Type="http://schemas.openxmlformats.org/officeDocument/2006/relationships/sharedStrings" Target="sharedStrings.xml" Id="rId4" /></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447675</xdr:colOff>
          <xdr:row>7</xdr:row>
          <xdr:rowOff>152400</xdr:rowOff>
        </xdr:from>
        <xdr:to>
          <xdr:col>15</xdr:col>
          <xdr:colOff>0</xdr:colOff>
          <xdr:row>8</xdr:row>
          <xdr:rowOff>266700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l-PL" sz="1100" b="0" i="0" u="none" strike="noStrike" baseline="0">
                  <a:solidFill>
                    <a:srgbClr val="000000"/>
                  </a:solidFill>
                  <a:latin typeface="Arial"/>
                  <a:cs typeface="Arial"/>
                </a:rPr>
                <a:t>Confirmed</a:t>
              </a:r>
            </a:p>
          </xdr:txBody>
        </xdr:sp>
        <xdr:clientData fPrintsWithSheet="0"/>
      </xdr:twoCellAnchor>
    </mc:Choice>
    <mc:Fallback/>
  </mc:AlternateContent>
</xdr:wsDr>
</file>

<file path=xl/theme/theme1.xml><?xml version="1.0" encoding="utf-8"?>
<a:theme xmlns:a="http://schemas.openxmlformats.org/drawingml/2006/main" name="Motyw pakietu Office">
  <a:themeElements>
    <a:clrScheme name="Pakiet 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Pakiet 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Pakiet 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x:worksheet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http://schemas.openxmlformats.org/spreadsheetml/2006/main" mc:Ignorable="x14ac">
  <x:sheetPr codeName="worksheetTemplate"/>
  <x:dimension ref="A1:XFC207"/>
  <x:sheetViews>
    <x:sheetView showGridLines="0" tabSelected="1" zoomScale="70" zoomScaleNormal="70" workbookViewId="0"/>
  </x:sheetViews>
  <x:sheetFormatPr defaultColWidth="0" defaultRowHeight="12.75" zeroHeight="1" outlineLevelRow="1" x14ac:dyDescent="0.2"/>
  <x:cols>
    <x:col min="1" max="1" width="5.7109375" style="4" customWidth="1"/>
    <x:col min="2" max="2" width="17.28515625" style="4" customWidth="1"/>
    <x:col min="3" max="3" width="36" style="4" customWidth="1"/>
    <x:col min="4" max="15" width="16.7109375" style="4" customWidth="1"/>
    <x:col min="16" max="16" width="5.7109375" style="4" customWidth="1"/>
    <x:col min="17" max="37" width="16.85546875" style="4" hidden="1" customWidth="1"/>
    <x:col min="38" max="38" width="18.85546875" style="4" hidden="1" customWidth="1"/>
    <x:col min="39" max="40" width="20.28515625" style="4" hidden="1" customWidth="1"/>
    <x:col min="41" max="42" width="26.42578125" style="4" hidden="1" customWidth="1"/>
    <x:col min="43" max="187" width="10.5703125" style="4" hidden="1" customWidth="1"/>
    <x:col min="188" max="189" width="15.42578125" style="4" hidden="1" customWidth="1"/>
    <x:col min="190" max="16383" width="15.28515625" style="4" hidden="1"/>
    <x:col min="16384" max="16384" width="0.42578125" style="4" customWidth="1"/>
  </x:cols>
  <x:sheetData>
    <x:row r="1" spans="1:16" s="7" customFormat="1" ht="16.5" thickBot="1" x14ac:dyDescent="0.25">
      <x:c r="A1" s="1"/>
      <x:c r="B1" s="2"/>
      <x:c r="C1" s="2"/>
      <x:c r="D1" s="2"/>
      <x:c r="E1" s="2"/>
      <x:c r="F1" s="2"/>
      <x:c r="G1" s="2"/>
      <x:c r="H1" s="2"/>
      <x:c r="I1" s="2"/>
      <x:c r="J1" s="2"/>
      <x:c r="K1" s="2"/>
      <x:c r="L1" s="2"/>
      <x:c r="M1" s="2"/>
      <x:c r="N1" s="2"/>
      <x:c r="O1" s="3"/>
    </x:row>
    <x:row r="2" spans="1:16" s="7" customFormat="1" ht="33.75" customHeight="1" thickBot="1" x14ac:dyDescent="0.25">
      <x:c r="A2" s="5"/>
      <x:c r="B2" s="75" t="s">
        <x:v>5</x:v>
      </x:c>
      <x:c r="C2" s="76"/>
      <x:c r="D2" s="26"/>
      <x:c r="E2" s="4"/>
      <x:c r="F2" s="77" t="s">
        <x:v>12</x:v>
      </x:c>
      <x:c r="G2" s="78"/>
      <x:c r="H2" s="32">
        <x:v>42856</x:v>
      </x:c>
      <x:c r="I2" s="21" t="s">
        <x:v>11</x:v>
      </x:c>
      <x:c r="J2" s="33">
        <x:v>42870</x:v>
      </x:c>
      <x:c r="K2" s="6"/>
      <x:c r="L2" s="6"/>
      <x:c r="M2" s="6"/>
      <x:c r="N2" s="6"/>
    </x:row>
    <x:row r="3" spans="1:16" s="7" customFormat="1" ht="33.75" customHeight="1" x14ac:dyDescent="0.2">
      <x:c r="A3" s="5"/>
      <x:c r="B3" s="8" t="s">
        <x:v>6</x:v>
      </x:c>
      <x:c r="C3" s="22" t="s">
        <x:v>7</x:v>
      </x:c>
      <x:c r="D3" s="27"/>
      <x:c r="E3" s="6"/>
      <x:c r="F3" s="4"/>
      <x:c r="G3" s="4"/>
      <x:c r="H3" s="4"/>
      <x:c r="I3" s="4"/>
      <x:c r="J3" s="4"/>
      <x:c r="K3" s="6"/>
      <x:c r="L3" s="6"/>
      <x:c r="M3" s="6"/>
      <x:c r="N3" s="6"/>
    </x:row>
    <x:row r="4" spans="1:16" s="7" customFormat="1" ht="33.75" customHeight="1" thickBot="1" x14ac:dyDescent="0.25">
      <x:c r="A4" s="5"/>
      <x:c r="B4" s="9" t="s">
        <x:v>8</x:v>
      </x:c>
      <x:c r="C4" s="23" t="inlineStr">
        <x:v>29</x:v>
        <x:is>
          <x:t>TEST</x:t>
        </x:is>
      </x:c>
      <x:c r="D4" s="27"/>
      <x:c r="E4" s="6"/>
      <x:c r="F4" s="79" t="s">
        <x:v>4</x:v>
      </x:c>
      <x:c r="G4" s="80"/>
      <x:c r="N4" s="6"/>
    </x:row>
    <x:row r="5" spans="1:16" s="7" customFormat="1" ht="33.75" customHeight="1" thickBot="1" x14ac:dyDescent="0.25">
      <x:c r="A5" s="5"/>
      <x:c r="B5" s="9" t="s">
        <x:v>0</x:v>
      </x:c>
      <x:c r="C5" s="10" t="inlineStr">
        <x:v>29</x:v>
        <x:is>
          <x:t>Civil Engineering</x:t>
        </x:is>
      </x:c>
      <x:c r="D5" s="13"/>
      <x:c r="E5" s="6"/>
      <x:c r="F5" s="81"/>
      <x:c r="G5" s="82"/>
      <x:c r="H5" s="82"/>
      <x:c r="I5" s="82"/>
      <x:c r="J5" s="82"/>
      <x:c r="K5" s="82"/>
      <x:c r="L5" s="82"/>
      <x:c r="M5" s="82"/>
      <x:c r="N5" s="83"/>
      <x:c r="O5" s="84"/>
    </x:row>
    <x:row r="6" spans="1:16" s="7" customFormat="1" ht="33.75" customHeight="1" thickBot="1" x14ac:dyDescent="0.25">
      <x:c r="A6" s="5"/>
      <x:c r="B6" s="34" t="s">
        <x:v>9</x:v>
      </x:c>
      <x:c r="C6" s="35" t="inlineStr">
        <x:v>29</x:v>
        <x:is>
          <x:t>TEST</x:t>
        </x:is>
      </x:c>
      <x:c r="D6" s="27"/>
      <x:c r="E6" s="6"/>
      <x:c r="F6" s="85"/>
      <x:c r="G6" s="86"/>
      <x:c r="H6" s="86"/>
      <x:c r="I6" s="86"/>
      <x:c r="J6" s="86"/>
      <x:c r="K6" s="86"/>
      <x:c r="L6" s="86"/>
      <x:c r="M6" s="86"/>
      <x:c r="N6" s="87"/>
      <x:c r="O6" s="88"/>
    </x:row>
    <x:row r="7" spans="1:16" s="7" customFormat="1" ht="33.75" customHeight="1" thickBot="1" x14ac:dyDescent="0.25">
      <x:c r="A7" s="5"/>
      <x:c r="B7" s="9" t="s">
        <x:v>10</x:v>
      </x:c>
      <x:c r="C7" s="23" t="inlineStr">
        <x:v>29</x:v>
        <x:is>
          <x:t>TEST</x:t>
        </x:is>
      </x:c>
      <x:c r="D7" s="27"/>
      <x:c r="E7" s="6"/>
      <x:c r="F7" s="89"/>
      <x:c r="G7" s="90"/>
      <x:c r="H7" s="90"/>
      <x:c r="I7" s="90"/>
      <x:c r="J7" s="90"/>
      <x:c r="K7" s="90"/>
      <x:c r="L7" s="90"/>
      <x:c r="M7" s="90"/>
      <x:c r="N7" s="91"/>
      <x:c r="O7" s="92"/>
    </x:row>
    <x:row r="8" spans="1:16" s="7" customFormat="1" ht="33.75" customHeight="1" x14ac:dyDescent="0.2">
      <x:c r="A8" s="5"/>
      <x:c r="B8" s="9" t="s">
        <x:v>1</x:v>
      </x:c>
      <x:c r="C8" s="10" t="inlineStr">
        <x:v>29</x:v>
        <x:is>
          <x:t>TEST</x:t>
        </x:is>
      </x:c>
      <x:c r="D8" s="13"/>
      <x:c r="E8" s="6"/>
      <x:c r="F8" s="93" t="s">
        <x:v>38</x:v>
      </x:c>
      <x:c r="G8" s="94"/>
      <x:c r="H8" s="94"/>
      <x:c r="I8" s="94"/>
      <x:c r="J8" s="94"/>
      <x:c r="K8" s="94"/>
      <x:c r="L8" s="94"/>
      <x:c r="M8" s="94"/>
      <x:c r="N8" s="6"/>
    </x:row>
    <x:row r="9" spans="1:16" s="7" customFormat="1" ht="33.75" customHeight="1" thickBot="1" x14ac:dyDescent="0.25">
      <x:c r="A9" s="5"/>
      <x:c r="B9" s="11"/>
      <x:c r="C9" s="24"/>
      <x:c r="D9" s="28"/>
      <x:c r="E9" s="6"/>
      <x:c r="F9" s="95"/>
      <x:c r="G9" s="95"/>
      <x:c r="H9" s="95"/>
      <x:c r="I9" s="95"/>
      <x:c r="J9" s="95"/>
      <x:c r="K9" s="95"/>
      <x:c r="L9" s="95"/>
      <x:c r="M9" s="95"/>
      <x:c r="N9" s="6"/>
    </x:row>
    <x:row r="10" spans="1:16" s="7" customFormat="1" ht="15.75" x14ac:dyDescent="0.2">
      <x:c r="A10" s="5"/>
      <x:c r="B10" s="12"/>
      <x:c r="C10" s="13"/>
      <x:c r="D10" s="13"/>
      <x:c r="E10" s="6"/>
      <x:c r="F10" s="6"/>
      <x:c r="G10" s="6"/>
      <x:c r="H10" s="6"/>
      <x:c r="I10" s="6"/>
      <x:c r="J10" s="6"/>
      <x:c r="K10" s="6"/>
      <x:c r="L10" s="6"/>
      <x:c r="M10" s="6"/>
      <x:c r="N10" s="6"/>
    </x:row>
    <x:row r="11" spans="1:16" s="7" customFormat="1" x14ac:dyDescent="0.2">
      <x:c r="A11" s="5"/>
    </x:row>
    <x:row r="12" spans="1:16" s="7" customFormat="1" x14ac:dyDescent="0.2">
      <x:c r="A12" s="5"/>
      <x:c r="B12" s="14" t="s">
        <x:v>13</x:v>
      </x:c>
      <x:c r="C12" s="15"/>
      <x:c r="D12" s="15"/>
      <x:c r="E12" s="15"/>
      <x:c r="F12" s="16"/>
      <x:c r="G12" s="16"/>
      <x:c r="H12" s="17"/>
      <x:c r="K12" s="18"/>
      <x:c r="M12" s="25"/>
    </x:row>
    <x:row r="13" spans="1:16" s="7" customFormat="1" ht="13.5" thickBot="1" x14ac:dyDescent="0.25">
      <x:c r="A13" s="5"/>
    </x:row>
    <x:row r="14" spans="1:16" s="7" customFormat="1" x14ac:dyDescent="0.2">
      <x:c r="A14" s="5"/>
      <x:c r="B14" s="48"/>
      <x:c r="C14" s="49"/>
      <x:c r="D14" s="72" t="s">
        <x:v>39</x:v>
      </x:c>
      <x:c r="E14" s="73"/>
      <x:c r="F14" s="73"/>
      <x:c r="G14" s="74"/>
      <x:c r="H14" s="72" t="s">
        <x:v>40</x:v>
      </x:c>
      <x:c r="I14" s="73"/>
      <x:c r="J14" s="73"/>
      <x:c r="K14" s="73"/>
      <x:c r="L14" s="73"/>
      <x:c r="M14" s="73"/>
      <x:c r="N14" s="73"/>
      <x:c r="O14" s="74"/>
    </x:row>
    <x:row r="15" spans="1:16" s="7" customFormat="1" x14ac:dyDescent="0.2">
      <x:c r="A15" s="5"/>
      <x:c r="B15" s="68"/>
      <x:c r="C15" s="69"/>
      <x:c r="D15" s="36" t="s">
        <x:v>2</x:v>
      </x:c>
      <x:c r="E15" s="38" t="s">
        <x:v>3</x:v>
      </x:c>
      <x:c r="F15" s="38" t="s">
        <x:v>44</x:v>
      </x:c>
      <x:c r="G15" s="37" t="s">
        <x:v>41</x:v>
      </x:c>
      <x:c r="H15" s="36" t="s">
        <x:v>20</x:v>
      </x:c>
      <x:c r="I15" s="38" t="s">
        <x:v>34</x:v>
      </x:c>
      <x:c r="J15" s="39" t="s">
        <x:v>35</x:v>
      </x:c>
      <x:c r="K15" s="39" t="s">
        <x:v>36</x:v>
      </x:c>
      <x:c r="L15" s="38" t="s">
        <x:v>19</x:v>
      </x:c>
      <x:c r="M15" s="38" t="s">
        <x:v>37</x:v>
      </x:c>
      <x:c r="N15" s="38" t="s">
        <x:v>22</x:v>
      </x:c>
      <x:c r="O15" s="37" t="s">
        <x:v>23</x:v>
      </x:c>
      <x:c r="P15" s="20"/>
    </x:row>
    <x:row r="16" spans="1:16" s="7" customFormat="1" ht="76.5" x14ac:dyDescent="0.2">
      <x:c r="A16" s="5"/>
      <x:c r="B16" s="40" t="s">
        <x:v>14</x:v>
      </x:c>
      <x:c r="C16" s="41" t="s">
        <x:v>28</x:v>
      </x:c>
      <x:c r="D16" s="40" t="s">
        <x:v>45</x:v>
      </x:c>
      <x:c r="E16" s="42" t="s">
        <x:v>15</x:v>
      </x:c>
      <x:c r="F16" s="42" t="s">
        <x:v>42</x:v>
      </x:c>
      <x:c r="G16" s="41" t="s">
        <x:v>43</x:v>
      </x:c>
      <x:c r="H16" s="40" t="s">
        <x:v>25</x:v>
      </x:c>
      <x:c r="I16" s="42" t="s">
        <x:v>16</x:v>
      </x:c>
      <x:c r="J16" s="43" t="s">
        <x:v>18</x:v>
      </x:c>
      <x:c r="K16" s="43" t="s">
        <x:v>17</x:v>
      </x:c>
      <x:c r="L16" s="42" t="s">
        <x:v>26</x:v>
      </x:c>
      <x:c r="M16" s="42" t="s">
        <x:v>21</x:v>
      </x:c>
      <x:c r="N16" s="44" t="s">
        <x:v>27</x:v>
      </x:c>
      <x:c r="O16" s="41" t="s">
        <x:v>24</x:v>
      </x:c>
    </x:row>
    <x:row r="17" spans="1:19" s="7" customFormat="1" hidden="1" outlineLevel="2" collapsed="1" x14ac:dyDescent="0.2">
      <x:c r="A17" s="5"/>
      <x:c r="B17" s="45" t="inlineStr">
        <x:is>
          <x:t>E872</x:t>
        </x:is>
      </x:c>
      <x:c r="C17" s="46" t="inlineStr">
        <x:is>
          <x:t>Kruk, Katarzyna</x:t>
        </x:is>
      </x:c>
      <x:c r="D17" s="45" t="n">
        <x:v>168</x:v>
      </x:c>
      <x:c r="E17" s="19" t="n">
        <x:v>0</x:v>
      </x:c>
      <x:c r="F17" s="19" t="n">
        <x:f>MAX(D17-E17, 0)</x:f>
        <x:v>1</x:v>
      </x:c>
      <x:c r="G17" s="47" t="n">
        <x:f>IF(D17=0,0,ABS(E17/D17))</x:f>
        <x:v>0.5</x:v>
      </x:c>
      <x:c r="H17" s="52"/>
      <x:c r="I17" s="50"/>
      <x:c r="J17" s="50"/>
      <x:c r="K17" s="51"/>
      <x:c r="L17" s="19" t="n">
        <x:v>641.6</x:v>
      </x:c>
      <x:c r="M17" s="56"/>
      <x:c r="N17" s="50"/>
      <x:c r="O17" s="70"/>
      <x:c r="P17" s="29"/>
      <x:c r="Q17" s="30"/>
      <x:c r="R17" s="31"/>
      <x:c r="S17" s="31"/>
    </x:row>
    <x:row r="18" spans="1:19" s="7" customFormat="1" hidden="1" outlineLevel="2" collapsed="1" x14ac:dyDescent="0.2">
      <x:c r="A18" s="5"/>
      <x:c r="B18" s="45" t="inlineStr">
        <x:is>
          <x:t>E872</x:t>
        </x:is>
      </x:c>
      <x:c r="C18" s="46" t="inlineStr">
        <x:is>
          <x:t>Pajak, Beata</x:t>
        </x:is>
      </x:c>
      <x:c r="D18" s="45" t="n">
        <x:v>0</x:v>
      </x:c>
      <x:c r="E18" s="19" t="n">
        <x:v>0</x:v>
      </x:c>
      <x:c r="F18" s="19" t="n">
        <x:f>MAX(D18-E18, 0)</x:f>
        <x:v>1</x:v>
      </x:c>
      <x:c r="G18" s="47" t="n">
        <x:f>IF(D18=0,0,ABS(E18/D18))</x:f>
        <x:v>0.5</x:v>
      </x:c>
      <x:c r="H18" s="96"/>
      <x:c r="I18" s="97"/>
      <x:c r="J18" s="97"/>
      <x:c r="K18" s="98"/>
      <x:c r="L18" s="19" t="n">
        <x:v>168</x:v>
      </x:c>
      <x:c r="M18" s="99"/>
      <x:c r="N18" s="97"/>
      <x:c r="O18" s="100"/>
      <x:c r="P18" s="29"/>
      <x:c r="Q18" s="30"/>
      <x:c r="R18" s="31"/>
      <x:c r="S18" s="31"/>
    </x:row>
    <x:row r="19" spans="1:19" s="7" customFormat="1" hidden="1" outlineLevel="2" collapsed="1" x14ac:dyDescent="0.2">
      <x:c r="A19" s="5"/>
      <x:c r="B19" s="45" t="inlineStr">
        <x:is>
          <x:t>E872</x:t>
        </x:is>
      </x:c>
      <x:c r="C19" s="46" t="inlineStr">
        <x:is>
          <x:t>Skowyrski, Szymon</x:t>
        </x:is>
      </x:c>
      <x:c r="D19" s="45" t="n">
        <x:v>84</x:v>
      </x:c>
      <x:c r="E19" s="19" t="n">
        <x:v>0</x:v>
      </x:c>
      <x:c r="F19" s="19" t="n">
        <x:f>MAX(D19-E19, 0)</x:f>
        <x:v>1</x:v>
      </x:c>
      <x:c r="G19" s="47" t="n">
        <x:f>IF(D19=0,0,ABS(E19/D19))</x:f>
        <x:v>0.5</x:v>
      </x:c>
      <x:c r="H19" s="96"/>
      <x:c r="I19" s="97"/>
      <x:c r="J19" s="97"/>
      <x:c r="K19" s="98"/>
      <x:c r="L19" s="19" t="n">
        <x:v>481.6</x:v>
      </x:c>
      <x:c r="M19" s="99"/>
      <x:c r="N19" s="97"/>
      <x:c r="O19" s="100"/>
      <x:c r="P19" s="29"/>
      <x:c r="Q19" s="30"/>
      <x:c r="R19" s="31"/>
      <x:c r="S19" s="31"/>
    </x:row>
    <x:row r="20" spans="1:19" s="7" customFormat="1" hidden="1" outlineLevel="2" collapsed="1" x14ac:dyDescent="0.2">
      <x:c r="A20" s="5"/>
      <x:c r="B20" s="45" t="inlineStr">
        <x:is>
          <x:t>E872</x:t>
        </x:is>
      </x:c>
      <x:c r="C20" s="46" t="inlineStr">
        <x:is>
          <x:t>Smela-Baszkiewicz, Agata</x:t>
        </x:is>
      </x:c>
      <x:c r="D20" s="45" t="n">
        <x:v>168</x:v>
      </x:c>
      <x:c r="E20" s="19" t="n">
        <x:v>0</x:v>
      </x:c>
      <x:c r="F20" s="19" t="n">
        <x:f>MAX(D20-E20, 0)</x:f>
        <x:v>1</x:v>
      </x:c>
      <x:c r="G20" s="47" t="n">
        <x:f>IF(D20=0,0,ABS(E20/D20))</x:f>
        <x:v>0.5</x:v>
      </x:c>
      <x:c r="H20" s="96"/>
      <x:c r="I20" s="97"/>
      <x:c r="J20" s="97"/>
      <x:c r="K20" s="98"/>
      <x:c r="L20" s="19" t="n">
        <x:v>962.4</x:v>
      </x:c>
      <x:c r="M20" s="99"/>
      <x:c r="N20" s="97"/>
      <x:c r="O20" s="100"/>
      <x:c r="P20" s="29"/>
      <x:c r="Q20" s="30"/>
      <x:c r="R20" s="31"/>
      <x:c r="S20" s="31"/>
    </x:row>
    <x:row r="21" spans="1:19" s="7" customFormat="1" hidden="1" outlineLevel="2" collapsed="1" x14ac:dyDescent="0.2">
      <x:c r="A21" s="5"/>
      <x:c r="B21" s="45" t="inlineStr">
        <x:is>
          <x:t>E872</x:t>
        </x:is>
      </x:c>
      <x:c r="C21" s="46" t="inlineStr">
        <x:is>
          <x:t>Wisniewska, Daria</x:t>
        </x:is>
      </x:c>
      <x:c r="D21" s="45" t="n">
        <x:v>67.2</x:v>
      </x:c>
      <x:c r="E21" s="19" t="n">
        <x:v>0</x:v>
      </x:c>
      <x:c r="F21" s="19" t="n">
        <x:f>MAX(D21-E21, 0)</x:f>
        <x:v>1</x:v>
      </x:c>
      <x:c r="G21" s="47" t="n">
        <x:f>IF(D21=0,0,ABS(E21/D21))</x:f>
        <x:v>0.5</x:v>
      </x:c>
      <x:c r="H21" s="96"/>
      <x:c r="I21" s="97"/>
      <x:c r="J21" s="97"/>
      <x:c r="K21" s="98"/>
      <x:c r="L21" s="19" t="n">
        <x:v>1024.8</x:v>
      </x:c>
      <x:c r="M21" s="57"/>
      <x:c r="N21" s="54"/>
      <x:c r="O21" s="71"/>
      <x:c r="P21" s="29"/>
      <x:c r="Q21" s="30"/>
      <x:c r="R21" s="31"/>
      <x:c r="S21" s="31"/>
    </x:row>
    <x:row r="22" spans="1:19" s="7" customFormat="1" outlineLevel="1" x14ac:dyDescent="0.2">
      <x:c r="A22" s="5"/>
      <x:c r="B22" s="58" t="inlineStr">
        <x:v>49</x:v>
        <x:is>
          <x:t>Total E872</x:t>
        </x:is>
      </x:c>
      <x:c r="C22" s="59"/>
      <x:c r="D22" s="58" t="n">
        <x:v>487.2</x:v>
      </x:c>
      <x:c r="E22" s="60" t="n">
        <x:v>0</x:v>
      </x:c>
      <x:c r="F22" s="60" t="n">
        <x:f>MAX(D22-E22, 0)</x:f>
        <x:v>1</x:v>
      </x:c>
      <x:c r="G22" s="61" t="n">
        <x:f>IF(D22=0,0,ABS(E22/D22))</x:f>
        <x:v>0.5</x:v>
      </x:c>
      <x:c r="H22" s="58" t="n">
        <x:v>9000.8</x:v>
      </x:c>
      <x:c r="I22" s="60" t="n">
        <x:v>12712.04</x:v>
      </x:c>
      <x:c r="J22" s="62" t="n">
        <x:f>IF(H22=0,"No plan at start",I22/H22)</x:f>
        <x:v>2</x:v>
      </x:c>
      <x:c r="K22" s="60" t="n">
        <x:f>MAX(H22-I22, 0)</x:f>
        <x:v>0</x:v>
      </x:c>
      <x:c r="L22" s="60" t="n">
        <x:v>3278.4</x:v>
      </x:c>
      <x:c r="M22" s="60" t="n">
        <x:f>I22+L22</x:f>
        <x:v>3</x:v>
      </x:c>
      <x:c r="N22" s="60" t="n">
        <x:f>M22+H22</x:f>
        <x:v>2</x:v>
      </x:c>
      <x:c r="O22" s="61" t="n">
        <x:f>IF(H22=0,"No plan at start",M22/H22)</x:f>
        <x:v>3</x:v>
      </x:c>
      <x:c r="P22" s="29"/>
      <x:c r="Q22" s="30"/>
      <x:c r="R22" s="31"/>
      <x:c r="S22" s="31"/>
    </x:row>
    <x:row r="23" spans="1:19" s="7" customFormat="1" hidden="1" outlineLevel="2" collapsed="1" x14ac:dyDescent="0.2">
      <x:c r="A23" s="5"/>
      <x:c r="B23" s="45" t="inlineStr">
        <x:is>
          <x:t>H808</x:t>
        </x:is>
      </x:c>
      <x:c r="C23" s="46" t="inlineStr">
        <x:is>
          <x:t>Grzywacz, Tomasz</x:t>
        </x:is>
      </x:c>
      <x:c r="D23" s="45" t="n">
        <x:v>50.4</x:v>
      </x:c>
      <x:c r="E23" s="19" t="n">
        <x:v>0</x:v>
      </x:c>
      <x:c r="F23" s="19" t="n">
        <x:f>MAX(D23-E23, 0)</x:f>
        <x:v>1</x:v>
      </x:c>
      <x:c r="G23" s="47" t="n">
        <x:f>IF(D23=0,0,ABS(E23/D23))</x:f>
        <x:v>0.5</x:v>
      </x:c>
      <x:c r="H23" s="52"/>
      <x:c r="I23" s="50"/>
      <x:c r="J23" s="50"/>
      <x:c r="K23" s="51"/>
      <x:c r="L23" s="19" t="n">
        <x:v>50.4</x:v>
      </x:c>
      <x:c r="M23" s="56"/>
      <x:c r="N23" s="50"/>
      <x:c r="O23" s="70"/>
      <x:c r="P23" s="29"/>
      <x:c r="Q23" s="30"/>
      <x:c r="R23" s="31"/>
      <x:c r="S23" s="31"/>
    </x:row>
    <x:row r="24" spans="1:19" s="7" customFormat="1" hidden="1" outlineLevel="2" collapsed="1" x14ac:dyDescent="0.2">
      <x:c r="A24" s="5"/>
      <x:c r="B24" s="45" t="inlineStr">
        <x:is>
          <x:t>H808</x:t>
        </x:is>
      </x:c>
      <x:c r="C24" s="46" t="inlineStr">
        <x:is>
          <x:t>Jeromin, Milena</x:t>
        </x:is>
      </x:c>
      <x:c r="D24" s="45" t="n">
        <x:v>168</x:v>
      </x:c>
      <x:c r="E24" s="19" t="n">
        <x:v>0</x:v>
      </x:c>
      <x:c r="F24" s="19" t="n">
        <x:f>MAX(D24-E24, 0)</x:f>
        <x:v>1</x:v>
      </x:c>
      <x:c r="G24" s="47" t="n">
        <x:f>IF(D24=0,0,ABS(E24/D24))</x:f>
        <x:v>0.5</x:v>
      </x:c>
      <x:c r="H24" s="96"/>
      <x:c r="I24" s="97"/>
      <x:c r="J24" s="97"/>
      <x:c r="K24" s="98"/>
      <x:c r="L24" s="19" t="n">
        <x:v>504</x:v>
      </x:c>
      <x:c r="M24" s="99"/>
      <x:c r="N24" s="97"/>
      <x:c r="O24" s="100"/>
      <x:c r="P24" s="29"/>
      <x:c r="Q24" s="30"/>
      <x:c r="R24" s="31"/>
      <x:c r="S24" s="31"/>
    </x:row>
    <x:row r="25" spans="1:19" s="7" customFormat="1" hidden="1" outlineLevel="2" collapsed="1" x14ac:dyDescent="0.2">
      <x:c r="A25" s="5"/>
      <x:c r="B25" s="45" t="inlineStr">
        <x:is>
          <x:t>H808</x:t>
        </x:is>
      </x:c>
      <x:c r="C25" s="46" t="inlineStr">
        <x:is>
          <x:t>Krygowska, Sabina</x:t>
        </x:is>
      </x:c>
      <x:c r="D25" s="45" t="n">
        <x:v>168</x:v>
      </x:c>
      <x:c r="E25" s="19" t="n">
        <x:v>0</x:v>
      </x:c>
      <x:c r="F25" s="19" t="n">
        <x:f>MAX(D25-E25, 0)</x:f>
        <x:v>1</x:v>
      </x:c>
      <x:c r="G25" s="47" t="n">
        <x:f>IF(D25=0,0,ABS(E25/D25))</x:f>
        <x:v>0.5</x:v>
      </x:c>
      <x:c r="H25" s="96"/>
      <x:c r="I25" s="97"/>
      <x:c r="J25" s="97"/>
      <x:c r="K25" s="98"/>
      <x:c r="L25" s="19" t="n">
        <x:v>2312</x:v>
      </x:c>
      <x:c r="M25" s="99"/>
      <x:c r="N25" s="97"/>
      <x:c r="O25" s="100"/>
      <x:c r="P25" s="29"/>
      <x:c r="Q25" s="30"/>
      <x:c r="R25" s="31"/>
      <x:c r="S25" s="31"/>
    </x:row>
    <x:row r="26" spans="1:19" s="7" customFormat="1" hidden="1" outlineLevel="2" collapsed="1" x14ac:dyDescent="0.2">
      <x:c r="A26" s="5"/>
      <x:c r="B26" s="45" t="inlineStr">
        <x:is>
          <x:t>H808</x:t>
        </x:is>
      </x:c>
      <x:c r="C26" s="46" t="inlineStr">
        <x:is>
          <x:t>Lebiedowicz-Cuch, Marta</x:t>
        </x:is>
      </x:c>
      <x:c r="D26" s="45" t="n">
        <x:v>168</x:v>
      </x:c>
      <x:c r="E26" s="19" t="n">
        <x:v>0</x:v>
      </x:c>
      <x:c r="F26" s="19" t="n">
        <x:f>MAX(D26-E26, 0)</x:f>
        <x:v>1</x:v>
      </x:c>
      <x:c r="G26" s="47" t="n">
        <x:f>IF(D26=0,0,ABS(E26/D26))</x:f>
        <x:v>0.5</x:v>
      </x:c>
      <x:c r="H26" s="96"/>
      <x:c r="I26" s="97"/>
      <x:c r="J26" s="97"/>
      <x:c r="K26" s="98"/>
      <x:c r="L26" s="19" t="n">
        <x:v>756</x:v>
      </x:c>
      <x:c r="M26" s="99"/>
      <x:c r="N26" s="97"/>
      <x:c r="O26" s="100"/>
      <x:c r="P26" s="29"/>
      <x:c r="Q26" s="30"/>
      <x:c r="R26" s="31"/>
      <x:c r="S26" s="31"/>
    </x:row>
    <x:row r="27" spans="1:19" s="7" customFormat="1" hidden="1" outlineLevel="2" collapsed="1" x14ac:dyDescent="0.2">
      <x:c r="A27" s="5"/>
      <x:c r="B27" s="45" t="inlineStr">
        <x:is>
          <x:t>H808</x:t>
        </x:is>
      </x:c>
      <x:c r="C27" s="46" t="inlineStr">
        <x:is>
          <x:t>Niemyjski, Michal</x:t>
        </x:is>
      </x:c>
      <x:c r="D27" s="45" t="n">
        <x:v>168</x:v>
      </x:c>
      <x:c r="E27" s="19" t="n">
        <x:v>0</x:v>
      </x:c>
      <x:c r="F27" s="19" t="n">
        <x:f>MAX(D27-E27, 0)</x:f>
        <x:v>1</x:v>
      </x:c>
      <x:c r="G27" s="47" t="n">
        <x:f>IF(D27=0,0,ABS(E27/D27))</x:f>
        <x:v>0.5</x:v>
      </x:c>
      <x:c r="H27" s="96"/>
      <x:c r="I27" s="97"/>
      <x:c r="J27" s="97"/>
      <x:c r="K27" s="98"/>
      <x:c r="L27" s="19" t="n">
        <x:v>504</x:v>
      </x:c>
      <x:c r="M27" s="99"/>
      <x:c r="N27" s="97"/>
      <x:c r="O27" s="100"/>
      <x:c r="P27" s="29"/>
      <x:c r="Q27" s="30"/>
      <x:c r="R27" s="31"/>
      <x:c r="S27" s="31"/>
    </x:row>
    <x:row r="28" spans="1:19" s="7" customFormat="1" hidden="1" outlineLevel="2" collapsed="1" x14ac:dyDescent="0.2">
      <x:c r="A28" s="5"/>
      <x:c r="B28" s="45" t="inlineStr">
        <x:is>
          <x:t>H808</x:t>
        </x:is>
      </x:c>
      <x:c r="C28" s="46" t="inlineStr">
        <x:is>
          <x:t>Sasinowska, Paulina</x:t>
        </x:is>
      </x:c>
      <x:c r="D28" s="45" t="n">
        <x:v>0</x:v>
      </x:c>
      <x:c r="E28" s="19" t="n">
        <x:v>0</x:v>
      </x:c>
      <x:c r="F28" s="19" t="n">
        <x:f>MAX(D28-E28, 0)</x:f>
        <x:v>1</x:v>
      </x:c>
      <x:c r="G28" s="47" t="n">
        <x:f>IF(D28=0,0,ABS(E28/D28))</x:f>
        <x:v>0.5</x:v>
      </x:c>
      <x:c r="H28" s="96"/>
      <x:c r="I28" s="97"/>
      <x:c r="J28" s="97"/>
      <x:c r="K28" s="98"/>
      <x:c r="L28" s="19" t="n">
        <x:v>504</x:v>
      </x:c>
      <x:c r="M28" s="99"/>
      <x:c r="N28" s="97"/>
      <x:c r="O28" s="100"/>
      <x:c r="P28" s="29"/>
      <x:c r="Q28" s="30"/>
      <x:c r="R28" s="31"/>
      <x:c r="S28" s="31"/>
    </x:row>
    <x:row r="29" spans="1:19" s="7" customFormat="1" hidden="1" outlineLevel="2" collapsed="1" x14ac:dyDescent="0.2">
      <x:c r="A29" s="5"/>
      <x:c r="B29" s="45" t="inlineStr">
        <x:is>
          <x:t>H808</x:t>
        </x:is>
      </x:c>
      <x:c r="C29" s="46" t="inlineStr">
        <x:is>
          <x:t>Szubski, Szymon</x:t>
        </x:is>
      </x:c>
      <x:c r="D29" s="45" t="n">
        <x:v>168</x:v>
      </x:c>
      <x:c r="E29" s="19" t="n">
        <x:v>0</x:v>
      </x:c>
      <x:c r="F29" s="19" t="n">
        <x:f>MAX(D29-E29, 0)</x:f>
        <x:v>1</x:v>
      </x:c>
      <x:c r="G29" s="47" t="n">
        <x:f>IF(D29=0,0,ABS(E29/D29))</x:f>
        <x:v>0.5</x:v>
      </x:c>
      <x:c r="H29" s="96"/>
      <x:c r="I29" s="97"/>
      <x:c r="J29" s="97"/>
      <x:c r="K29" s="98"/>
      <x:c r="L29" s="19" t="n">
        <x:v>504</x:v>
      </x:c>
      <x:c r="M29" s="99"/>
      <x:c r="N29" s="97"/>
      <x:c r="O29" s="100"/>
      <x:c r="P29" s="29"/>
      <x:c r="Q29" s="30"/>
      <x:c r="R29" s="31"/>
      <x:c r="S29" s="31"/>
    </x:row>
    <x:row r="30" spans="1:19" s="7" customFormat="1" hidden="1" outlineLevel="2" collapsed="1" x14ac:dyDescent="0.2">
      <x:c r="A30" s="5"/>
      <x:c r="B30" s="45" t="inlineStr">
        <x:is>
          <x:t>H808</x:t>
        </x:is>
      </x:c>
      <x:c r="C30" s="46" t="inlineStr">
        <x:is>
          <x:t>Tanska, Urszula</x:t>
        </x:is>
      </x:c>
      <x:c r="D30" s="45" t="n">
        <x:v>168</x:v>
      </x:c>
      <x:c r="E30" s="19" t="n">
        <x:v>0</x:v>
      </x:c>
      <x:c r="F30" s="19" t="n">
        <x:f>MAX(D30-E30, 0)</x:f>
        <x:v>1</x:v>
      </x:c>
      <x:c r="G30" s="47" t="n">
        <x:f>IF(D30=0,0,ABS(E30/D30))</x:f>
        <x:v>0.5</x:v>
      </x:c>
      <x:c r="H30" s="96"/>
      <x:c r="I30" s="97"/>
      <x:c r="J30" s="97"/>
      <x:c r="K30" s="98"/>
      <x:c r="L30" s="19" t="n">
        <x:v>1119.6</x:v>
      </x:c>
      <x:c r="M30" s="99"/>
      <x:c r="N30" s="97"/>
      <x:c r="O30" s="100"/>
      <x:c r="P30" s="29"/>
      <x:c r="Q30" s="30"/>
      <x:c r="R30" s="31"/>
      <x:c r="S30" s="31"/>
    </x:row>
    <x:row r="31" spans="1:19" s="7" customFormat="1" hidden="1" outlineLevel="2" collapsed="1" x14ac:dyDescent="0.2">
      <x:c r="A31" s="5"/>
      <x:c r="B31" s="45" t="inlineStr">
        <x:is>
          <x:t>H808</x:t>
        </x:is>
      </x:c>
      <x:c r="C31" s="46" t="inlineStr">
        <x:is>
          <x:t>Tyszek, Robert</x:t>
        </x:is>
      </x:c>
      <x:c r="D31" s="45" t="n">
        <x:v>168</x:v>
      </x:c>
      <x:c r="E31" s="19" t="n">
        <x:v>0</x:v>
      </x:c>
      <x:c r="F31" s="19" t="n">
        <x:f>MAX(D31-E31, 0)</x:f>
        <x:v>1</x:v>
      </x:c>
      <x:c r="G31" s="47" t="n">
        <x:f>IF(D31=0,0,ABS(E31/D31))</x:f>
        <x:v>0.5</x:v>
      </x:c>
      <x:c r="H31" s="96"/>
      <x:c r="I31" s="97"/>
      <x:c r="J31" s="97"/>
      <x:c r="K31" s="98"/>
      <x:c r="L31" s="19" t="n">
        <x:v>504</x:v>
      </x:c>
      <x:c r="M31" s="57"/>
      <x:c r="N31" s="54"/>
      <x:c r="O31" s="71"/>
      <x:c r="P31" s="29"/>
      <x:c r="Q31" s="30"/>
      <x:c r="R31" s="31"/>
      <x:c r="S31" s="31"/>
    </x:row>
    <x:row r="32" spans="1:19" s="7" customFormat="1" outlineLevel="1" x14ac:dyDescent="0.2">
      <x:c r="A32" s="5"/>
      <x:c r="B32" s="58" t="inlineStr">
        <x:v>49</x:v>
        <x:is>
          <x:t>Total H808</x:t>
        </x:is>
      </x:c>
      <x:c r="C32" s="59"/>
      <x:c r="D32" s="58" t="n">
        <x:v>1226.4</x:v>
      </x:c>
      <x:c r="E32" s="60" t="n">
        <x:v>0</x:v>
      </x:c>
      <x:c r="F32" s="60" t="n">
        <x:f>MAX(D32-E32, 0)</x:f>
        <x:v>1</x:v>
      </x:c>
      <x:c r="G32" s="61" t="n">
        <x:f>IF(D32=0,0,ABS(E32/D32))</x:f>
        <x:v>0.5</x:v>
      </x:c>
      <x:c r="H32" s="58" t="n">
        <x:v>17635.2</x:v>
      </x:c>
      <x:c r="I32" s="60" t="n">
        <x:v>16014.05</x:v>
      </x:c>
      <x:c r="J32" s="62" t="n">
        <x:f>IF(H32=0,"No plan at start",I32/H32)</x:f>
        <x:v>2</x:v>
      </x:c>
      <x:c r="K32" s="60" t="n">
        <x:f>MAX(H32-I32, 0)</x:f>
        <x:v>0</x:v>
      </x:c>
      <x:c r="L32" s="60" t="n">
        <x:v>6758.0</x:v>
      </x:c>
      <x:c r="M32" s="60" t="n">
        <x:f>I32+L32</x:f>
        <x:v>3</x:v>
      </x:c>
      <x:c r="N32" s="60" t="n">
        <x:f>M32+H32</x:f>
        <x:v>2</x:v>
      </x:c>
      <x:c r="O32" s="61" t="n">
        <x:f>IF(H32=0,"No plan at start",M32/H32)</x:f>
        <x:v>3</x:v>
      </x:c>
      <x:c r="P32" s="29"/>
      <x:c r="Q32" s="30"/>
      <x:c r="R32" s="31"/>
      <x:c r="S32" s="31"/>
    </x:row>
    <x:row r="33" spans="1:19" s="7" customFormat="1" hidden="1" outlineLevel="2" collapsed="1" x14ac:dyDescent="0.2">
      <x:c r="A33" s="5"/>
      <x:c r="B33" s="45" t="inlineStr">
        <x:is>
          <x:t>J500</x:t>
        </x:is>
      </x:c>
      <x:c r="C33" s="46" t="inlineStr">
        <x:is>
          <x:t>Balos, Paulina</x:t>
        </x:is>
      </x:c>
      <x:c r="D33" s="45" t="n">
        <x:v>151.2</x:v>
      </x:c>
      <x:c r="E33" s="19" t="n">
        <x:v>0</x:v>
      </x:c>
      <x:c r="F33" s="19" t="n">
        <x:f>MAX(D33-E33, 0)</x:f>
        <x:v>1</x:v>
      </x:c>
      <x:c r="G33" s="47" t="n">
        <x:f>IF(D33=0,0,ABS(E33/D33))</x:f>
        <x:v>0.5</x:v>
      </x:c>
      <x:c r="H33" s="52"/>
      <x:c r="I33" s="50"/>
      <x:c r="J33" s="50"/>
      <x:c r="K33" s="51"/>
      <x:c r="L33" s="19" t="n">
        <x:v>892.0</x:v>
      </x:c>
      <x:c r="M33" s="56"/>
      <x:c r="N33" s="50"/>
      <x:c r="O33" s="70"/>
      <x:c r="P33" s="29"/>
      <x:c r="Q33" s="30"/>
      <x:c r="R33" s="31"/>
      <x:c r="S33" s="31"/>
    </x:row>
    <x:row r="34" spans="1:19" s="7" customFormat="1" hidden="1" outlineLevel="2" collapsed="1" x14ac:dyDescent="0.2">
      <x:c r="A34" s="5"/>
      <x:c r="B34" s="45" t="inlineStr">
        <x:is>
          <x:t>J500</x:t>
        </x:is>
      </x:c>
      <x:c r="C34" s="46" t="inlineStr">
        <x:is>
          <x:t>Brach, Pawel</x:t>
        </x:is>
      </x:c>
      <x:c r="D34" s="45" t="n">
        <x:v>151.2</x:v>
      </x:c>
      <x:c r="E34" s="19" t="n">
        <x:v>0</x:v>
      </x:c>
      <x:c r="F34" s="19" t="n">
        <x:f>MAX(D34-E34, 0)</x:f>
        <x:v>1</x:v>
      </x:c>
      <x:c r="G34" s="47" t="n">
        <x:f>IF(D34=0,0,ABS(E34/D34))</x:f>
        <x:v>0.5</x:v>
      </x:c>
      <x:c r="H34" s="96"/>
      <x:c r="I34" s="97"/>
      <x:c r="J34" s="97"/>
      <x:c r="K34" s="98"/>
      <x:c r="L34" s="19" t="n">
        <x:v>0</x:v>
      </x:c>
      <x:c r="M34" s="99"/>
      <x:c r="N34" s="97"/>
      <x:c r="O34" s="100"/>
      <x:c r="P34" s="29"/>
      <x:c r="Q34" s="30"/>
      <x:c r="R34" s="31"/>
      <x:c r="S34" s="31"/>
    </x:row>
    <x:row r="35" spans="1:19" s="7" customFormat="1" hidden="1" outlineLevel="2" collapsed="1" x14ac:dyDescent="0.2">
      <x:c r="A35" s="5"/>
      <x:c r="B35" s="45" t="inlineStr">
        <x:is>
          <x:t>J500</x:t>
        </x:is>
      </x:c>
      <x:c r="C35" s="46" t="inlineStr">
        <x:is>
          <x:t>Gregorek, Elzbieta</x:t>
        </x:is>
      </x:c>
      <x:c r="D35" s="45" t="n">
        <x:v>122</x:v>
      </x:c>
      <x:c r="E35" s="19" t="n">
        <x:v>0</x:v>
      </x:c>
      <x:c r="F35" s="19" t="n">
        <x:f>MAX(D35-E35, 0)</x:f>
        <x:v>1</x:v>
      </x:c>
      <x:c r="G35" s="47" t="n">
        <x:f>IF(D35=0,0,ABS(E35/D35))</x:f>
        <x:v>0.5</x:v>
      </x:c>
      <x:c r="H35" s="96"/>
      <x:c r="I35" s="97"/>
      <x:c r="J35" s="97"/>
      <x:c r="K35" s="98"/>
      <x:c r="L35" s="19" t="n">
        <x:v>431.43</x:v>
      </x:c>
      <x:c r="M35" s="99"/>
      <x:c r="N35" s="97"/>
      <x:c r="O35" s="100"/>
      <x:c r="P35" s="29"/>
      <x:c r="Q35" s="30"/>
      <x:c r="R35" s="31"/>
      <x:c r="S35" s="31"/>
    </x:row>
    <x:row r="36" spans="1:19" s="7" customFormat="1" hidden="1" outlineLevel="2" collapsed="1" x14ac:dyDescent="0.2">
      <x:c r="A36" s="5"/>
      <x:c r="B36" s="45" t="inlineStr">
        <x:is>
          <x:t>J500</x:t>
        </x:is>
      </x:c>
      <x:c r="C36" s="46" t="inlineStr">
        <x:is>
          <x:t>Grzywacz, Tomasz</x:t>
        </x:is>
      </x:c>
      <x:c r="D36" s="45" t="n">
        <x:v>148</x:v>
      </x:c>
      <x:c r="E36" s="19" t="n">
        <x:v>0</x:v>
      </x:c>
      <x:c r="F36" s="19" t="n">
        <x:f>MAX(D36-E36, 0)</x:f>
        <x:v>1</x:v>
      </x:c>
      <x:c r="G36" s="47" t="n">
        <x:f>IF(D36=0,0,ABS(E36/D36))</x:f>
        <x:v>0.5</x:v>
      </x:c>
      <x:c r="H36" s="96"/>
      <x:c r="I36" s="97"/>
      <x:c r="J36" s="97"/>
      <x:c r="K36" s="98"/>
      <x:c r="L36" s="19" t="n">
        <x:v>583.82</x:v>
      </x:c>
      <x:c r="M36" s="99"/>
      <x:c r="N36" s="97"/>
      <x:c r="O36" s="100"/>
      <x:c r="P36" s="29"/>
      <x:c r="Q36" s="30"/>
      <x:c r="R36" s="31"/>
      <x:c r="S36" s="31"/>
    </x:row>
    <x:row r="37" spans="1:19" s="7" customFormat="1" hidden="1" outlineLevel="2" collapsed="1" x14ac:dyDescent="0.2">
      <x:c r="A37" s="5"/>
      <x:c r="B37" s="45" t="inlineStr">
        <x:is>
          <x:t>J500</x:t>
        </x:is>
      </x:c>
      <x:c r="C37" s="46" t="inlineStr">
        <x:is>
          <x:t>Hofman, Aleksandra</x:t>
        </x:is>
      </x:c>
      <x:c r="D37" s="45" t="n">
        <x:v>125.2</x:v>
      </x:c>
      <x:c r="E37" s="19" t="n">
        <x:v>0</x:v>
      </x:c>
      <x:c r="F37" s="19" t="n">
        <x:f>MAX(D37-E37, 0)</x:f>
        <x:v>1</x:v>
      </x:c>
      <x:c r="G37" s="47" t="n">
        <x:f>IF(D37=0,0,ABS(E37/D37))</x:f>
        <x:v>0.5</x:v>
      </x:c>
      <x:c r="H37" s="96"/>
      <x:c r="I37" s="97"/>
      <x:c r="J37" s="97"/>
      <x:c r="K37" s="98"/>
      <x:c r="L37" s="19" t="n">
        <x:v>399.85</x:v>
      </x:c>
      <x:c r="M37" s="99"/>
      <x:c r="N37" s="97"/>
      <x:c r="O37" s="100"/>
      <x:c r="P37" s="29"/>
      <x:c r="Q37" s="30"/>
      <x:c r="R37" s="31"/>
      <x:c r="S37" s="31"/>
    </x:row>
    <x:row r="38" spans="1:19" s="7" customFormat="1" hidden="1" outlineLevel="2" collapsed="1" x14ac:dyDescent="0.2">
      <x:c r="A38" s="5"/>
      <x:c r="B38" s="45" t="inlineStr">
        <x:is>
          <x:t>J500</x:t>
        </x:is>
      </x:c>
      <x:c r="C38" s="46" t="inlineStr">
        <x:is>
          <x:t>Mirecka-Glowacka, Justyna</x:t>
        </x:is>
      </x:c>
      <x:c r="D38" s="45" t="n">
        <x:v>151.2</x:v>
      </x:c>
      <x:c r="E38" s="19" t="n">
        <x:v>0</x:v>
      </x:c>
      <x:c r="F38" s="19" t="n">
        <x:f>MAX(D38-E38, 0)</x:f>
        <x:v>1</x:v>
      </x:c>
      <x:c r="G38" s="47" t="n">
        <x:f>IF(D38=0,0,ABS(E38/D38))</x:f>
        <x:v>0.5</x:v>
      </x:c>
      <x:c r="H38" s="96"/>
      <x:c r="I38" s="97"/>
      <x:c r="J38" s="97"/>
      <x:c r="K38" s="98"/>
      <x:c r="L38" s="19" t="n">
        <x:v>874.4</x:v>
      </x:c>
      <x:c r="M38" s="99"/>
      <x:c r="N38" s="97"/>
      <x:c r="O38" s="100"/>
      <x:c r="P38" s="29"/>
      <x:c r="Q38" s="30"/>
      <x:c r="R38" s="31"/>
      <x:c r="S38" s="31"/>
    </x:row>
    <x:row r="39" spans="1:19" s="7" customFormat="1" hidden="1" outlineLevel="2" collapsed="1" x14ac:dyDescent="0.2">
      <x:c r="A39" s="5"/>
      <x:c r="B39" s="45" t="inlineStr">
        <x:is>
          <x:t>J500</x:t>
        </x:is>
      </x:c>
      <x:c r="C39" s="46" t="inlineStr">
        <x:is>
          <x:t>Nieciecka, Edyta</x:t>
        </x:is>
      </x:c>
      <x:c r="D39" s="45" t="n">
        <x:v>0</x:v>
      </x:c>
      <x:c r="E39" s="19" t="n">
        <x:v>0</x:v>
      </x:c>
      <x:c r="F39" s="19" t="n">
        <x:f>MAX(D39-E39, 0)</x:f>
        <x:v>1</x:v>
      </x:c>
      <x:c r="G39" s="47" t="n">
        <x:f>IF(D39=0,0,ABS(E39/D39))</x:f>
        <x:v>0.5</x:v>
      </x:c>
      <x:c r="H39" s="96"/>
      <x:c r="I39" s="97"/>
      <x:c r="J39" s="97"/>
      <x:c r="K39" s="98"/>
      <x:c r="L39" s="19" t="n">
        <x:v>590</x:v>
      </x:c>
      <x:c r="M39" s="99"/>
      <x:c r="N39" s="97"/>
      <x:c r="O39" s="100"/>
      <x:c r="P39" s="29"/>
      <x:c r="Q39" s="30"/>
      <x:c r="R39" s="31"/>
      <x:c r="S39" s="31"/>
    </x:row>
    <x:row r="40" spans="1:19" s="7" customFormat="1" hidden="1" outlineLevel="2" collapsed="1" x14ac:dyDescent="0.2">
      <x:c r="A40" s="5"/>
      <x:c r="B40" s="45" t="inlineStr">
        <x:is>
          <x:t>J500</x:t>
        </x:is>
      </x:c>
      <x:c r="C40" s="46" t="inlineStr">
        <x:is>
          <x:t>Pajewski, Marta</x:t>
        </x:is>
      </x:c>
      <x:c r="D40" s="45" t="n">
        <x:v>151.2</x:v>
      </x:c>
      <x:c r="E40" s="19" t="n">
        <x:v>0</x:v>
      </x:c>
      <x:c r="F40" s="19" t="n">
        <x:f>MAX(D40-E40, 0)</x:f>
        <x:v>1</x:v>
      </x:c>
      <x:c r="G40" s="47" t="n">
        <x:f>IF(D40=0,0,ABS(E40/D40))</x:f>
        <x:v>0.5</x:v>
      </x:c>
      <x:c r="H40" s="96"/>
      <x:c r="I40" s="97"/>
      <x:c r="J40" s="97"/>
      <x:c r="K40" s="98"/>
      <x:c r="L40" s="19" t="n">
        <x:v>970.8</x:v>
      </x:c>
      <x:c r="M40" s="99"/>
      <x:c r="N40" s="97"/>
      <x:c r="O40" s="100"/>
      <x:c r="P40" s="29"/>
      <x:c r="Q40" s="30"/>
      <x:c r="R40" s="31"/>
      <x:c r="S40" s="31"/>
    </x:row>
    <x:row r="41" spans="1:19" s="7" customFormat="1" hidden="1" outlineLevel="2" collapsed="1" x14ac:dyDescent="0.2">
      <x:c r="A41" s="5"/>
      <x:c r="B41" s="45" t="inlineStr">
        <x:is>
          <x:t>J500</x:t>
        </x:is>
      </x:c>
      <x:c r="C41" s="46" t="inlineStr">
        <x:is>
          <x:t>Piela, Anna</x:t>
        </x:is>
      </x:c>
      <x:c r="D41" s="45" t="n">
        <x:v>158</x:v>
      </x:c>
      <x:c r="E41" s="19" t="n">
        <x:v>0</x:v>
      </x:c>
      <x:c r="F41" s="19" t="n">
        <x:f>MAX(D41-E41, 0)</x:f>
        <x:v>1</x:v>
      </x:c>
      <x:c r="G41" s="47" t="n">
        <x:f>IF(D41=0,0,ABS(E41/D41))</x:f>
        <x:v>0.5</x:v>
      </x:c>
      <x:c r="H41" s="96"/>
      <x:c r="I41" s="97"/>
      <x:c r="J41" s="97"/>
      <x:c r="K41" s="98"/>
      <x:c r="L41" s="19" t="n">
        <x:v>753.63</x:v>
      </x:c>
      <x:c r="M41" s="99"/>
      <x:c r="N41" s="97"/>
      <x:c r="O41" s="100"/>
      <x:c r="P41" s="29"/>
      <x:c r="Q41" s="30"/>
      <x:c r="R41" s="31"/>
      <x:c r="S41" s="31"/>
    </x:row>
    <x:row r="42" spans="1:19" s="7" customFormat="1" hidden="1" outlineLevel="2" collapsed="1" x14ac:dyDescent="0.2">
      <x:c r="A42" s="5"/>
      <x:c r="B42" s="45" t="inlineStr">
        <x:is>
          <x:t>J500</x:t>
        </x:is>
      </x:c>
      <x:c r="C42" s="46" t="inlineStr">
        <x:is>
          <x:t>Staszewska, Urszula</x:t>
        </x:is>
      </x:c>
      <x:c r="D42" s="45" t="n">
        <x:v>175.2</x:v>
      </x:c>
      <x:c r="E42" s="19" t="n">
        <x:v>0</x:v>
      </x:c>
      <x:c r="F42" s="19" t="n">
        <x:f>MAX(D42-E42, 0)</x:f>
        <x:v>1</x:v>
      </x:c>
      <x:c r="G42" s="47" t="n">
        <x:f>IF(D42=0,0,ABS(E42/D42))</x:f>
        <x:v>0.5</x:v>
      </x:c>
      <x:c r="H42" s="96"/>
      <x:c r="I42" s="97"/>
      <x:c r="J42" s="97"/>
      <x:c r="K42" s="98"/>
      <x:c r="L42" s="19" t="n">
        <x:v>993.57</x:v>
      </x:c>
      <x:c r="M42" s="57"/>
      <x:c r="N42" s="54"/>
      <x:c r="O42" s="71"/>
      <x:c r="P42" s="29"/>
      <x:c r="Q42" s="30"/>
      <x:c r="R42" s="31"/>
      <x:c r="S42" s="31"/>
    </x:row>
    <x:row r="43" spans="1:19" s="7" customFormat="1" outlineLevel="1" x14ac:dyDescent="0.2">
      <x:c r="A43" s="5"/>
      <x:c r="B43" s="58" t="inlineStr">
        <x:v>49</x:v>
        <x:is>
          <x:t>Total J500</x:t>
        </x:is>
      </x:c>
      <x:c r="C43" s="59"/>
      <x:c r="D43" s="58" t="n">
        <x:v>1333.2</x:v>
      </x:c>
      <x:c r="E43" s="60" t="n">
        <x:v>0</x:v>
      </x:c>
      <x:c r="F43" s="60" t="n">
        <x:f>MAX(D43-E43, 0)</x:f>
        <x:v>1</x:v>
      </x:c>
      <x:c r="G43" s="61" t="n">
        <x:f>IF(D43=0,0,ABS(E43/D43))</x:f>
        <x:v>0.5</x:v>
      </x:c>
      <x:c r="H43" s="58" t="n">
        <x:v>10606.0</x:v>
      </x:c>
      <x:c r="I43" s="60" t="n">
        <x:v>11058.33</x:v>
      </x:c>
      <x:c r="J43" s="62" t="n">
        <x:f>IF(H43=0,"No plan at start",I43/H43)</x:f>
        <x:v>2</x:v>
      </x:c>
      <x:c r="K43" s="60" t="n">
        <x:f>MAX(H43-I43, 0)</x:f>
        <x:v>0</x:v>
      </x:c>
      <x:c r="L43" s="60" t="n">
        <x:v>6489.50</x:v>
      </x:c>
      <x:c r="M43" s="60" t="n">
        <x:f>I43+L43</x:f>
        <x:v>3</x:v>
      </x:c>
      <x:c r="N43" s="60" t="n">
        <x:f>M43+H43</x:f>
        <x:v>2</x:v>
      </x:c>
      <x:c r="O43" s="61" t="n">
        <x:f>IF(H43=0,"No plan at start",M43/H43)</x:f>
        <x:v>3</x:v>
      </x:c>
      <x:c r="P43" s="29"/>
      <x:c r="Q43" s="30"/>
      <x:c r="R43" s="31"/>
      <x:c r="S43" s="31"/>
    </x:row>
    <x:row r="44" spans="1:19" s="7" customFormat="1" hidden="1" outlineLevel="2" collapsed="1" x14ac:dyDescent="0.2">
      <x:c r="A44" s="5"/>
      <x:c r="B44" s="45" t="inlineStr">
        <x:is>
          <x:t>N707</x:t>
        </x:is>
      </x:c>
      <x:c r="C44" s="46" t="inlineStr">
        <x:is>
          <x:t>Skowyrski, Szymon</x:t>
        </x:is>
      </x:c>
      <x:c r="D44" s="45" t="n">
        <x:v>134.4</x:v>
      </x:c>
      <x:c r="E44" s="19" t="n">
        <x:v>0</x:v>
      </x:c>
      <x:c r="F44" s="19" t="n">
        <x:f>MAX(D44-E44, 0)</x:f>
        <x:v>1</x:v>
      </x:c>
      <x:c r="G44" s="47" t="n">
        <x:f>IF(D44=0,0,ABS(E44/D44))</x:f>
        <x:v>0.5</x:v>
      </x:c>
      <x:c r="H44" s="52"/>
      <x:c r="I44" s="50"/>
      <x:c r="J44" s="50"/>
      <x:c r="K44" s="51"/>
      <x:c r="L44" s="19" t="n">
        <x:v>0</x:v>
      </x:c>
      <x:c r="M44" s="56"/>
      <x:c r="N44" s="50"/>
      <x:c r="O44" s="70"/>
      <x:c r="P44" s="29"/>
      <x:c r="Q44" s="30"/>
      <x:c r="R44" s="31"/>
      <x:c r="S44" s="31"/>
    </x:row>
    <x:row r="45" spans="1:19" s="7" customFormat="1" ht="13.5" outlineLevel="1" thickBot="1" x14ac:dyDescent="0.25">
      <x:c r="A45" s="5"/>
      <x:c r="B45" s="63" t="inlineStr">
        <x:v>49</x:v>
        <x:is>
          <x:t>Total N707</x:t>
        </x:is>
      </x:c>
      <x:c r="C45" s="64"/>
      <x:c r="D45" s="63" t="n">
        <x:v>134.4</x:v>
      </x:c>
      <x:c r="E45" s="65" t="n">
        <x:v>0</x:v>
      </x:c>
      <x:c r="F45" s="65" t="n">
        <x:f>MAX(D45-E45, 0)</x:f>
        <x:v>0</x:v>
      </x:c>
      <x:c r="G45" s="66" t="n">
        <x:f>IF(D45=0,0,ABS(E45/D45))</x:f>
        <x:v>0</x:v>
      </x:c>
      <x:c r="H45" s="63" t="n">
        <x:v>351.2</x:v>
      </x:c>
      <x:c r="I45" s="65" t="n">
        <x:v>2</x:v>
      </x:c>
      <x:c r="J45" s="67" t="n">
        <x:f>IF(H45=0,"No plan at start",I45/H45)</x:f>
        <x:v>0.5</x:v>
      </x:c>
      <x:c r="K45" s="65" t="n">
        <x:f>MAX(H45-I45, 0)</x:f>
        <x:v>1</x:v>
      </x:c>
      <x:c r="L45" s="65" t="n">
        <x:v>0</x:v>
      </x:c>
      <x:c r="M45" s="65" t="n">
        <x:f>I45+L45</x:f>
        <x:v>6</x:v>
      </x:c>
      <x:c r="N45" s="65" t="n">
        <x:f>M45+H45</x:f>
        <x:v>4</x:v>
      </x:c>
      <x:c r="O45" s="66" t="n">
        <x:f>IF(H45=0,"No plan at start",M45/H45)</x:f>
        <x:v>3</x:v>
      </x:c>
      <x:c r="P45" s="29"/>
      <x:c r="Q45" s="30"/>
      <x:c r="R45" s="31"/>
      <x:c r="S45" s="31"/>
    </x:row>
    <x:row r="46" x14ac:dyDescent="0.2"/>
    <x:row r="47" x14ac:dyDescent="0.2"/>
    <x:row r="48" spans="1:19" x14ac:dyDescent="0.2">
      <x:c r="B48" s="14" t="s">
        <x:v>30</x:v>
      </x:c>
      <x:c r="C48" s="15"/>
      <x:c r="D48" s="15"/>
      <x:c r="E48" s="15"/>
      <x:c r="F48" s="16"/>
      <x:c r="G48" s="16"/>
      <x:c r="H48" s="17"/>
      <x:c r="I48" s="7"/>
      <x:c r="J48" s="7"/>
      <x:c r="K48" s="18"/>
      <x:c r="L48" s="7"/>
      <x:c r="M48" s="25"/>
      <x:c r="N48" s="7"/>
      <x:c r="O48" s="7"/>
    </x:row>
    <x:row r="49" spans="1:19" ht="13.5" thickBot="1" x14ac:dyDescent="0.25">
      <x:c r="B49" s="7"/>
      <x:c r="C49" s="7"/>
      <x:c r="D49" s="7"/>
      <x:c r="E49" s="7"/>
      <x:c r="F49" s="7"/>
      <x:c r="G49" s="7"/>
      <x:c r="H49" s="7"/>
      <x:c r="I49" s="7"/>
      <x:c r="J49" s="7"/>
      <x:c r="K49" s="7"/>
      <x:c r="L49" s="7"/>
      <x:c r="M49" s="7"/>
      <x:c r="N49" s="7"/>
      <x:c r="O49" s="7"/>
    </x:row>
    <x:row r="50" spans="1:19" x14ac:dyDescent="0.2">
      <x:c r="B50" s="48"/>
      <x:c r="C50" s="49"/>
      <x:c r="D50" s="72" t="s">
        <x:v>39</x:v>
      </x:c>
      <x:c r="E50" s="73"/>
      <x:c r="F50" s="73"/>
      <x:c r="G50" s="74"/>
      <x:c r="H50" s="72" t="s">
        <x:v>40</x:v>
      </x:c>
      <x:c r="I50" s="73"/>
      <x:c r="J50" s="73"/>
      <x:c r="K50" s="73"/>
      <x:c r="L50" s="73"/>
      <x:c r="M50" s="73"/>
      <x:c r="N50" s="73"/>
      <x:c r="O50" s="74"/>
    </x:row>
    <x:row r="51" spans="1:19" x14ac:dyDescent="0.2">
      <x:c r="B51" s="68"/>
      <x:c r="C51" s="69"/>
      <x:c r="D51" s="36" t="s">
        <x:v>2</x:v>
      </x:c>
      <x:c r="E51" s="38" t="s">
        <x:v>3</x:v>
      </x:c>
      <x:c r="F51" s="38" t="s">
        <x:v>44</x:v>
      </x:c>
      <x:c r="G51" s="37" t="s">
        <x:v>41</x:v>
      </x:c>
      <x:c r="H51" s="36" t="s">
        <x:v>20</x:v>
      </x:c>
      <x:c r="I51" s="38" t="s">
        <x:v>34</x:v>
      </x:c>
      <x:c r="J51" s="39" t="s">
        <x:v>35</x:v>
      </x:c>
      <x:c r="K51" s="39" t="s">
        <x:v>36</x:v>
      </x:c>
      <x:c r="L51" s="38" t="s">
        <x:v>19</x:v>
      </x:c>
      <x:c r="M51" s="38" t="s">
        <x:v>37</x:v>
      </x:c>
      <x:c r="N51" s="38" t="s">
        <x:v>22</x:v>
      </x:c>
      <x:c r="O51" s="37" t="s">
        <x:v>23</x:v>
      </x:c>
    </x:row>
    <x:row r="52" spans="1:19" ht="76.5" x14ac:dyDescent="0.2">
      <x:c r="B52" s="40" t="s">
        <x:v>14</x:v>
      </x:c>
      <x:c r="C52" s="41" t="s">
        <x:v>28</x:v>
      </x:c>
      <x:c r="D52" s="40" t="s">
        <x:v>45</x:v>
      </x:c>
      <x:c r="E52" s="42" t="s">
        <x:v>15</x:v>
      </x:c>
      <x:c r="F52" s="42" t="s">
        <x:v>42</x:v>
      </x:c>
      <x:c r="G52" s="41" t="s">
        <x:v>43</x:v>
      </x:c>
      <x:c r="H52" s="40" t="s">
        <x:v>46</x:v>
      </x:c>
      <x:c r="I52" s="42" t="s">
        <x:v>31</x:v>
      </x:c>
      <x:c r="J52" s="43" t="s">
        <x:v>47</x:v>
      </x:c>
      <x:c r="K52" s="43" t="s">
        <x:v>17</x:v>
      </x:c>
      <x:c r="L52" s="42" t="s">
        <x:v>48</x:v>
      </x:c>
      <x:c r="M52" s="42" t="s">
        <x:v>32</x:v>
      </x:c>
      <x:c r="N52" s="42" t="s">
        <x:v>33</x:v>
      </x:c>
      <x:c r="O52" s="41" t="s">
        <x:v>24</x:v>
      </x:c>
    </x:row>
    <x:row r="53" spans="1:19" hidden="1" outlineLevel="2" collapsed="1" x14ac:dyDescent="0.2">
      <x:c r="B53" s="45" t="inlineStr">
        <x:is>
          <x:t>E872</x:t>
        </x:is>
      </x:c>
      <x:c r="C53" s="46" t="inlineStr">
        <x:is>
          <x:t>Kruk, Katarzyna</x:t>
        </x:is>
      </x:c>
      <x:c r="D53" s="45" t="n">
        <x:v>2056.32</x:v>
      </x:c>
      <x:c r="E53" s="19" t="n">
        <x:v>0</x:v>
      </x:c>
      <x:c r="F53" s="19" t="n">
        <x:f>MAX(D53-E53, 0)</x:f>
        <x:v>1</x:v>
      </x:c>
      <x:c r="G53" s="47" t="n">
        <x:f>IF(D53=0,0,ABS(E53/D53))</x:f>
        <x:v>0.5</x:v>
      </x:c>
      <x:c r="H53" s="52"/>
      <x:c r="I53" s="50"/>
      <x:c r="J53" s="50"/>
      <x:c r="K53" s="51"/>
      <x:c r="L53" s="19" t="n">
        <x:v>7853.184</x:v>
      </x:c>
      <x:c r="M53" s="50"/>
      <x:c r="N53" s="50"/>
      <x:c r="O53" s="70"/>
    </x:row>
    <x:row r="54" spans="1:19" hidden="1" outlineLevel="2" collapsed="1" x14ac:dyDescent="0.2">
      <x:c r="B54" s="45" t="inlineStr">
        <x:is>
          <x:t>E872</x:t>
        </x:is>
      </x:c>
      <x:c r="C54" s="46" t="inlineStr">
        <x:is>
          <x:t>Pajak, Beata</x:t>
        </x:is>
      </x:c>
      <x:c r="D54" s="45" t="n">
        <x:v>0</x:v>
      </x:c>
      <x:c r="E54" s="19" t="n">
        <x:v>0</x:v>
      </x:c>
      <x:c r="F54" s="19" t="n">
        <x:f>MAX(D54-E54, 0)</x:f>
        <x:v>1</x:v>
      </x:c>
      <x:c r="G54" s="47" t="n">
        <x:f>IF(D54=0,0,ABS(E54/D54))</x:f>
        <x:v>0.5</x:v>
      </x:c>
      <x:c r="H54" s="96"/>
      <x:c r="I54" s="97"/>
      <x:c r="J54" s="97"/>
      <x:c r="K54" s="98"/>
      <x:c r="L54" s="19" t="n">
        <x:v>1542.24</x:v>
      </x:c>
      <x:c r="M54" s="97"/>
      <x:c r="N54" s="97"/>
      <x:c r="O54" s="100"/>
    </x:row>
    <x:row r="55" spans="1:19" hidden="1" outlineLevel="2" collapsed="1" x14ac:dyDescent="0.2">
      <x:c r="B55" s="45" t="inlineStr">
        <x:is>
          <x:t>E872</x:t>
        </x:is>
      </x:c>
      <x:c r="C55" s="46" t="inlineStr">
        <x:is>
          <x:t>Skowyrski, Szymon</x:t>
        </x:is>
      </x:c>
      <x:c r="D55" s="45" t="n">
        <x:v>2184</x:v>
      </x:c>
      <x:c r="E55" s="19" t="n">
        <x:v>0</x:v>
      </x:c>
      <x:c r="F55" s="19" t="n">
        <x:f>MAX(D55-E55, 0)</x:f>
        <x:v>1</x:v>
      </x:c>
      <x:c r="G55" s="47" t="n">
        <x:f>IF(D55=0,0,ABS(E55/D55))</x:f>
        <x:v>0.5</x:v>
      </x:c>
      <x:c r="H55" s="96"/>
      <x:c r="I55" s="97"/>
      <x:c r="J55" s="97"/>
      <x:c r="K55" s="98"/>
      <x:c r="L55" s="19" t="n">
        <x:v>12521.6</x:v>
      </x:c>
      <x:c r="M55" s="97"/>
      <x:c r="N55" s="97"/>
      <x:c r="O55" s="100"/>
    </x:row>
    <x:row r="56" spans="1:19" hidden="1" outlineLevel="2" collapsed="1" x14ac:dyDescent="0.2">
      <x:c r="B56" s="45" t="inlineStr">
        <x:is>
          <x:t>E872</x:t>
        </x:is>
      </x:c>
      <x:c r="C56" s="46" t="inlineStr">
        <x:is>
          <x:t>Smela-Baszkiewicz, Agata</x:t>
        </x:is>
      </x:c>
      <x:c r="D56" s="45" t="n">
        <x:v>4887.5</x:v>
      </x:c>
      <x:c r="E56" s="19" t="n">
        <x:v>0</x:v>
      </x:c>
      <x:c r="F56" s="19" t="n">
        <x:f>MAX(D56-E56, 0)</x:f>
        <x:v>1</x:v>
      </x:c>
      <x:c r="G56" s="47" t="n">
        <x:f>IF(D56=0,0,ABS(E56/D56))</x:f>
        <x:v>0.5</x:v>
      </x:c>
      <x:c r="H56" s="96"/>
      <x:c r="I56" s="97"/>
      <x:c r="J56" s="97"/>
      <x:c r="K56" s="98"/>
      <x:c r="L56" s="19" t="n">
        <x:v>27998.39285714286</x:v>
      </x:c>
      <x:c r="M56" s="97"/>
      <x:c r="N56" s="97"/>
      <x:c r="O56" s="100"/>
    </x:row>
    <x:row r="57" spans="1:19" hidden="1" outlineLevel="2" collapsed="1" x14ac:dyDescent="0.2">
      <x:c r="B57" s="45" t="inlineStr">
        <x:is>
          <x:t>E872</x:t>
        </x:is>
      </x:c>
      <x:c r="C57" s="46" t="inlineStr">
        <x:is>
          <x:t>Wisniewska, Daria</x:t>
        </x:is>
      </x:c>
      <x:c r="D57" s="45" t="n">
        <x:v>1747.2</x:v>
      </x:c>
      <x:c r="E57" s="19" t="n">
        <x:v>0</x:v>
      </x:c>
      <x:c r="F57" s="19" t="n">
        <x:f>MAX(D57-E57, 0)</x:f>
        <x:v>1</x:v>
      </x:c>
      <x:c r="G57" s="47" t="n">
        <x:f>IF(D57=0,0,ABS(E57/D57))</x:f>
        <x:v>0.5</x:v>
      </x:c>
      <x:c r="H57" s="53"/>
      <x:c r="I57" s="54"/>
      <x:c r="J57" s="54"/>
      <x:c r="K57" s="55"/>
      <x:c r="L57" s="19" t="n">
        <x:v>26644.8</x:v>
      </x:c>
      <x:c r="M57" s="54"/>
      <x:c r="N57" s="54"/>
      <x:c r="O57" s="71"/>
    </x:row>
    <x:row r="58" spans="1:19" outlineLevel="1" x14ac:dyDescent="0.2">
      <x:c r="B58" s="58" t="inlineStr">
        <x:v>49</x:v>
        <x:is>
          <x:t>Total E872</x:t>
        </x:is>
      </x:c>
      <x:c r="C58" s="59"/>
      <x:c r="D58" s="58" t="n">
        <x:v>10875.02</x:v>
      </x:c>
      <x:c r="E58" s="60" t="n">
        <x:v>0</x:v>
      </x:c>
      <x:c r="F58" s="60" t="n">
        <x:f>MAX(D58-E58, 0)</x:f>
        <x:v>1</x:v>
      </x:c>
      <x:c r="G58" s="61" t="n">
        <x:f>IF(D58=0,0,ABS(E58/D58))</x:f>
        <x:v>0.5</x:v>
      </x:c>
      <x:c r="H58" s="58" t="n">
        <x:v>234020.8</x:v>
      </x:c>
      <x:c r="I58" s="60" t="n">
        <x:v>308799.84928571427922</x:v>
      </x:c>
      <x:c r="J58" s="62" t="n">
        <x:f>IF(H58=0,"No plan at start",I58/H58)</x:f>
        <x:v>2</x:v>
      </x:c>
      <x:c r="K58" s="60" t="n">
        <x:f>MAX(H58-I58, 0)</x:f>
        <x:v>0</x:v>
      </x:c>
      <x:c r="L58" s="60" t="n">
        <x:v>76560.21685714286</x:v>
      </x:c>
      <x:c r="M58" s="60" t="n">
        <x:f>I58+L58</x:f>
        <x:v>3</x:v>
      </x:c>
      <x:c r="N58" s="60" t="n">
        <x:f>M58+H58</x:f>
        <x:v>2</x:v>
      </x:c>
      <x:c r="O58" s="61" t="n">
        <x:f>IF(H58=0,"No plan at start",M58/H58)</x:f>
        <x:v>3</x:v>
      </x:c>
    </x:row>
    <x:row r="59" spans="1:19" hidden="1" outlineLevel="2" collapsed="1" x14ac:dyDescent="0.2">
      <x:c r="B59" s="45" t="inlineStr">
        <x:is>
          <x:t>H808</x:t>
        </x:is>
      </x:c>
      <x:c r="C59" s="46" t="inlineStr">
        <x:is>
          <x:t>Grzywacz, Tomasz</x:t>
        </x:is>
      </x:c>
      <x:c r="D59" s="45" t="n">
        <x:v>1530</x:v>
      </x:c>
      <x:c r="E59" s="19" t="n">
        <x:v>0</x:v>
      </x:c>
      <x:c r="F59" s="19" t="n">
        <x:f>MAX(D59-E59, 0)</x:f>
        <x:v>1</x:v>
      </x:c>
      <x:c r="G59" s="47" t="n">
        <x:f>IF(D59=0,0,ABS(E59/D59))</x:f>
        <x:v>0.5</x:v>
      </x:c>
      <x:c r="H59" s="52"/>
      <x:c r="I59" s="50"/>
      <x:c r="J59" s="50"/>
      <x:c r="K59" s="51"/>
      <x:c r="L59" s="19" t="n">
        <x:v>1530</x:v>
      </x:c>
      <x:c r="M59" s="50"/>
      <x:c r="N59" s="50"/>
      <x:c r="O59" s="70"/>
    </x:row>
    <x:row r="60" spans="1:19" hidden="1" outlineLevel="2" collapsed="1" x14ac:dyDescent="0.2">
      <x:c r="B60" s="45" t="inlineStr">
        <x:is>
          <x:t>H808</x:t>
        </x:is>
      </x:c>
      <x:c r="C60" s="46" t="inlineStr">
        <x:is>
          <x:t>Jeromin, Milena</x:t>
        </x:is>
      </x:c>
      <x:c r="D60" s="45" t="n">
        <x:v>4368</x:v>
      </x:c>
      <x:c r="E60" s="19" t="n">
        <x:v>0</x:v>
      </x:c>
      <x:c r="F60" s="19" t="n">
        <x:f>MAX(D60-E60, 0)</x:f>
        <x:v>1</x:v>
      </x:c>
      <x:c r="G60" s="47" t="n">
        <x:f>IF(D60=0,0,ABS(E60/D60))</x:f>
        <x:v>0.5</x:v>
      </x:c>
      <x:c r="H60" s="96"/>
      <x:c r="I60" s="97"/>
      <x:c r="J60" s="97"/>
      <x:c r="K60" s="98"/>
      <x:c r="L60" s="19" t="n">
        <x:v>13104</x:v>
      </x:c>
      <x:c r="M60" s="97"/>
      <x:c r="N60" s="97"/>
      <x:c r="O60" s="100"/>
    </x:row>
    <x:row r="61" spans="1:19" hidden="1" outlineLevel="2" collapsed="1" x14ac:dyDescent="0.2">
      <x:c r="B61" s="45" t="inlineStr">
        <x:is>
          <x:t>H808</x:t>
        </x:is>
      </x:c>
      <x:c r="C61" s="46" t="inlineStr">
        <x:is>
          <x:t>Krygowska, Sabina</x:t>
        </x:is>
      </x:c>
      <x:c r="D61" s="45" t="n">
        <x:v>6375</x:v>
      </x:c>
      <x:c r="E61" s="19" t="n">
        <x:v>0</x:v>
      </x:c>
      <x:c r="F61" s="19" t="n">
        <x:f>MAX(D61-E61, 0)</x:f>
        <x:v>1</x:v>
      </x:c>
      <x:c r="G61" s="47" t="n">
        <x:f>IF(D61=0,0,ABS(E61/D61))</x:f>
        <x:v>0.5</x:v>
      </x:c>
      <x:c r="H61" s="96"/>
      <x:c r="I61" s="97"/>
      <x:c r="J61" s="97"/>
      <x:c r="K61" s="98"/>
      <x:c r="L61" s="19" t="n">
        <x:v>87732.14285714285</x:v>
      </x:c>
      <x:c r="M61" s="97"/>
      <x:c r="N61" s="97"/>
      <x:c r="O61" s="100"/>
    </x:row>
    <x:row r="62" spans="1:19" hidden="1" outlineLevel="2" collapsed="1" x14ac:dyDescent="0.2">
      <x:c r="B62" s="45" t="inlineStr">
        <x:is>
          <x:t>H808</x:t>
        </x:is>
      </x:c>
      <x:c r="C62" s="46" t="inlineStr">
        <x:is>
          <x:t>Lebiedowicz-Cuch, Marta</x:t>
        </x:is>
      </x:c>
      <x:c r="D62" s="45" t="n">
        <x:v>4368</x:v>
      </x:c>
      <x:c r="E62" s="19" t="n">
        <x:v>0</x:v>
      </x:c>
      <x:c r="F62" s="19" t="n">
        <x:f>MAX(D62-E62, 0)</x:f>
        <x:v>1</x:v>
      </x:c>
      <x:c r="G62" s="47" t="n">
        <x:f>IF(D62=0,0,ABS(E62/D62))</x:f>
        <x:v>0.5</x:v>
      </x:c>
      <x:c r="H62" s="96"/>
      <x:c r="I62" s="97"/>
      <x:c r="J62" s="97"/>
      <x:c r="K62" s="98"/>
      <x:c r="L62" s="19" t="n">
        <x:v>19656</x:v>
      </x:c>
      <x:c r="M62" s="97"/>
      <x:c r="N62" s="97"/>
      <x:c r="O62" s="100"/>
    </x:row>
    <x:row r="63" spans="1:19" hidden="1" outlineLevel="2" collapsed="1" x14ac:dyDescent="0.2">
      <x:c r="B63" s="45" t="inlineStr">
        <x:is>
          <x:t>H808</x:t>
        </x:is>
      </x:c>
      <x:c r="C63" s="46" t="inlineStr">
        <x:is>
          <x:t>Niemyjski, Michal</x:t>
        </x:is>
      </x:c>
      <x:c r="D63" s="45" t="n">
        <x:v>1912.5</x:v>
      </x:c>
      <x:c r="E63" s="19" t="n">
        <x:v>0</x:v>
      </x:c>
      <x:c r="F63" s="19" t="n">
        <x:f>MAX(D63-E63, 0)</x:f>
        <x:v>1</x:v>
      </x:c>
      <x:c r="G63" s="47" t="n">
        <x:f>IF(D63=0,0,ABS(E63/D63))</x:f>
        <x:v>0.5</x:v>
      </x:c>
      <x:c r="H63" s="96"/>
      <x:c r="I63" s="97"/>
      <x:c r="J63" s="97"/>
      <x:c r="K63" s="98"/>
      <x:c r="L63" s="19" t="n">
        <x:v>5737.5</x:v>
      </x:c>
      <x:c r="M63" s="97"/>
      <x:c r="N63" s="97"/>
      <x:c r="O63" s="100"/>
    </x:row>
    <x:row r="64" spans="1:19" hidden="1" outlineLevel="2" collapsed="1" x14ac:dyDescent="0.2">
      <x:c r="B64" s="45" t="inlineStr">
        <x:is>
          <x:t>H808</x:t>
        </x:is>
      </x:c>
      <x:c r="C64" s="46" t="inlineStr">
        <x:is>
          <x:t>Sasinowska, Paulina</x:t>
        </x:is>
      </x:c>
      <x:c r="D64" s="45" t="n">
        <x:v>0</x:v>
      </x:c>
      <x:c r="E64" s="19" t="n">
        <x:v>0</x:v>
      </x:c>
      <x:c r="F64" s="19" t="n">
        <x:f>MAX(D64-E64, 0)</x:f>
        <x:v>1</x:v>
      </x:c>
      <x:c r="G64" s="47" t="n">
        <x:f>IF(D64=0,0,ABS(E64/D64))</x:f>
        <x:v>0.5</x:v>
      </x:c>
      <x:c r="H64" s="96"/>
      <x:c r="I64" s="97"/>
      <x:c r="J64" s="97"/>
      <x:c r="K64" s="98"/>
      <x:c r="L64" s="19" t="n">
        <x:v>7282.8</x:v>
      </x:c>
      <x:c r="M64" s="97"/>
      <x:c r="N64" s="97"/>
      <x:c r="O64" s="100"/>
    </x:row>
    <x:row r="65" spans="1:19" hidden="1" outlineLevel="2" collapsed="1" x14ac:dyDescent="0.2">
      <x:c r="B65" s="45" t="inlineStr">
        <x:is>
          <x:t>H808</x:t>
        </x:is>
      </x:c>
      <x:c r="C65" s="46" t="inlineStr">
        <x:is>
          <x:t>Szubski, Szymon</x:t>
        </x:is>
      </x:c>
      <x:c r="D65" s="45" t="n">
        <x:v>2252.5</x:v>
      </x:c>
      <x:c r="E65" s="19" t="n">
        <x:v>0</x:v>
      </x:c>
      <x:c r="F65" s="19" t="n">
        <x:f>MAX(D65-E65, 0)</x:f>
        <x:v>1</x:v>
      </x:c>
      <x:c r="G65" s="47" t="n">
        <x:f>IF(D65=0,0,ABS(E65/D65))</x:f>
        <x:v>0.5</x:v>
      </x:c>
      <x:c r="H65" s="96"/>
      <x:c r="I65" s="97"/>
      <x:c r="J65" s="97"/>
      <x:c r="K65" s="98"/>
      <x:c r="L65" s="19" t="n">
        <x:v>6757.5</x:v>
      </x:c>
      <x:c r="M65" s="97"/>
      <x:c r="N65" s="97"/>
      <x:c r="O65" s="100"/>
    </x:row>
    <x:row r="66" spans="1:19" hidden="1" outlineLevel="2" collapsed="1" x14ac:dyDescent="0.2">
      <x:c r="B66" s="45" t="inlineStr">
        <x:is>
          <x:t>H808</x:t>
        </x:is>
      </x:c>
      <x:c r="C66" s="46" t="inlineStr">
        <x:is>
          <x:t>Tanska, Urszula</x:t>
        </x:is>
      </x:c>
      <x:c r="D66" s="45" t="n">
        <x:v>7512.96</x:v>
      </x:c>
      <x:c r="E66" s="19" t="n">
        <x:v>0</x:v>
      </x:c>
      <x:c r="F66" s="19" t="n">
        <x:f>MAX(D66-E66, 0)</x:f>
        <x:v>1</x:v>
      </x:c>
      <x:c r="G66" s="47" t="n">
        <x:f>IF(D66=0,0,ABS(E66/D66))</x:f>
        <x:v>0.5</x:v>
      </x:c>
      <x:c r="H66" s="96"/>
      <x:c r="I66" s="97"/>
      <x:c r="J66" s="97"/>
      <x:c r="K66" s="98"/>
      <x:c r="L66" s="19" t="n">
        <x:v>50068.512</x:v>
      </x:c>
      <x:c r="M66" s="97"/>
      <x:c r="N66" s="97"/>
      <x:c r="O66" s="100"/>
    </x:row>
    <x:row r="67" spans="1:19" hidden="1" outlineLevel="2" collapsed="1" x14ac:dyDescent="0.2">
      <x:c r="B67" s="45" t="inlineStr">
        <x:is>
          <x:t>H808</x:t>
        </x:is>
      </x:c>
      <x:c r="C67" s="46" t="inlineStr">
        <x:is>
          <x:t>Tyszek, Robert</x:t>
        </x:is>
      </x:c>
      <x:c r="D67" s="45" t="n">
        <x:v>3400</x:v>
      </x:c>
      <x:c r="E67" s="19" t="n">
        <x:v>0</x:v>
      </x:c>
      <x:c r="F67" s="19" t="n">
        <x:f>MAX(D67-E67, 0)</x:f>
        <x:v>1</x:v>
      </x:c>
      <x:c r="G67" s="47" t="n">
        <x:f>IF(D67=0,0,ABS(E67/D67))</x:f>
        <x:v>0.5</x:v>
      </x:c>
      <x:c r="H67" s="53"/>
      <x:c r="I67" s="54"/>
      <x:c r="J67" s="54"/>
      <x:c r="K67" s="55"/>
      <x:c r="L67" s="19" t="n">
        <x:v>10200</x:v>
      </x:c>
      <x:c r="M67" s="54"/>
      <x:c r="N67" s="54"/>
      <x:c r="O67" s="71"/>
    </x:row>
    <x:row r="68" spans="1:19" outlineLevel="1" x14ac:dyDescent="0.2">
      <x:c r="B68" s="58" t="inlineStr">
        <x:v>49</x:v>
        <x:is>
          <x:t>Total H808</x:t>
        </x:is>
      </x:c>
      <x:c r="C68" s="59"/>
      <x:c r="D68" s="58" t="n">
        <x:v>31718.96</x:v>
      </x:c>
      <x:c r="E68" s="60" t="n">
        <x:v>0</x:v>
      </x:c>
      <x:c r="F68" s="60" t="n">
        <x:f>MAX(D68-E68, 0)</x:f>
        <x:v>1</x:v>
      </x:c>
      <x:c r="G68" s="61" t="n">
        <x:f>IF(D68=0,0,ABS(E68/D68))</x:f>
        <x:v>0.5</x:v>
      </x:c>
      <x:c r="H68" s="58" t="n">
        <x:v>572082.0468571426</x:v>
      </x:c>
      <x:c r="I68" s="60" t="n">
        <x:v>391383.10883928574472</x:v>
      </x:c>
      <x:c r="J68" s="62" t="n">
        <x:f>IF(H68=0,"No plan at start",I68/H68)</x:f>
        <x:v>2</x:v>
      </x:c>
      <x:c r="K68" s="60" t="n">
        <x:f>MAX(H68-I68, 0)</x:f>
        <x:v>0</x:v>
      </x:c>
      <x:c r="L68" s="60" t="n">
        <x:v>202068.45485714285</x:v>
      </x:c>
      <x:c r="M68" s="60" t="n">
        <x:f>I68+L68</x:f>
        <x:v>3</x:v>
      </x:c>
      <x:c r="N68" s="60" t="n">
        <x:f>M68+H68</x:f>
        <x:v>2</x:v>
      </x:c>
      <x:c r="O68" s="61" t="n">
        <x:f>IF(H68=0,"No plan at start",M68/H68)</x:f>
        <x:v>3</x:v>
      </x:c>
    </x:row>
    <x:row r="69" spans="1:19" hidden="1" outlineLevel="2" collapsed="1" x14ac:dyDescent="0.2">
      <x:c r="B69" s="45" t="inlineStr">
        <x:is>
          <x:t>J500</x:t>
        </x:is>
      </x:c>
      <x:c r="C69" s="46" t="inlineStr">
        <x:is>
          <x:t>Balos, Paulina</x:t>
        </x:is>
      </x:c>
      <x:c r="D69" s="45" t="n">
        <x:v>1606.5</x:v>
      </x:c>
      <x:c r="E69" s="19" t="n">
        <x:v>0</x:v>
      </x:c>
      <x:c r="F69" s="19" t="n">
        <x:f>MAX(D69-E69, 0)</x:f>
        <x:v>1</x:v>
      </x:c>
      <x:c r="G69" s="47" t="n">
        <x:f>IF(D69=0,0,ABS(E69/D69))</x:f>
        <x:v>0.5</x:v>
      </x:c>
      <x:c r="H69" s="52"/>
      <x:c r="I69" s="50"/>
      <x:c r="J69" s="50"/>
      <x:c r="K69" s="51"/>
      <x:c r="L69" s="19" t="n">
        <x:v>9477.5</x:v>
      </x:c>
      <x:c r="M69" s="50"/>
      <x:c r="N69" s="50"/>
      <x:c r="O69" s="70"/>
    </x:row>
    <x:row r="70" spans="1:19" hidden="1" outlineLevel="2" collapsed="1" x14ac:dyDescent="0.2">
      <x:c r="B70" s="45" t="inlineStr">
        <x:is>
          <x:t>J500</x:t>
        </x:is>
      </x:c>
      <x:c r="C70" s="46" t="inlineStr">
        <x:is>
          <x:t>Brach, Pawel</x:t>
        </x:is>
      </x:c>
      <x:c r="D70" s="45" t="n">
        <x:v>3442.5</x:v>
      </x:c>
      <x:c r="E70" s="19" t="n">
        <x:v>0</x:v>
      </x:c>
      <x:c r="F70" s="19" t="n">
        <x:f>MAX(D70-E70, 0)</x:f>
        <x:v>1</x:v>
      </x:c>
      <x:c r="G70" s="47" t="n">
        <x:f>IF(D70=0,0,ABS(E70/D70))</x:f>
        <x:v>0.5</x:v>
      </x:c>
      <x:c r="H70" s="96"/>
      <x:c r="I70" s="97"/>
      <x:c r="J70" s="97"/>
      <x:c r="K70" s="98"/>
      <x:c r="L70" s="19" t="n">
        <x:v>0</x:v>
      </x:c>
      <x:c r="M70" s="97"/>
      <x:c r="N70" s="97"/>
      <x:c r="O70" s="100"/>
    </x:row>
    <x:row r="71" spans="1:19" hidden="1" outlineLevel="2" collapsed="1" x14ac:dyDescent="0.2">
      <x:c r="B71" s="45" t="inlineStr">
        <x:is>
          <x:t>J500</x:t>
        </x:is>
      </x:c>
      <x:c r="C71" s="46" t="inlineStr">
        <x:is>
          <x:t>Gregorek, Elzbieta</x:t>
        </x:is>
      </x:c>
      <x:c r="D71" s="45" t="n">
        <x:v>1970.3</x:v>
      </x:c>
      <x:c r="E71" s="19" t="n">
        <x:v>0</x:v>
      </x:c>
      <x:c r="F71" s="19" t="n">
        <x:f>MAX(D71-E71, 0)</x:f>
        <x:v>1</x:v>
      </x:c>
      <x:c r="G71" s="47" t="n">
        <x:f>IF(D71=0,0,ABS(E71/D71))</x:f>
        <x:v>0.5</x:v>
      </x:c>
      <x:c r="H71" s="96"/>
      <x:c r="I71" s="97"/>
      <x:c r="J71" s="97"/>
      <x:c r="K71" s="98"/>
      <x:c r="L71" s="19" t="n">
        <x:v>6967.5945</x:v>
      </x:c>
      <x:c r="M71" s="97"/>
      <x:c r="N71" s="97"/>
      <x:c r="O71" s="100"/>
    </x:row>
    <x:row r="72" spans="1:19" hidden="1" outlineLevel="2" collapsed="1" x14ac:dyDescent="0.2">
      <x:c r="B72" s="45" t="inlineStr">
        <x:is>
          <x:t>J500</x:t>
        </x:is>
      </x:c>
      <x:c r="C72" s="46" t="inlineStr">
        <x:is>
          <x:t>Grzywacz, Tomasz</x:t>
        </x:is>
      </x:c>
      <x:c r="D72" s="45" t="n">
        <x:v>4492.85714285714</x:v>
      </x:c>
      <x:c r="E72" s="19" t="n">
        <x:v>0</x:v>
      </x:c>
      <x:c r="F72" s="19" t="n">
        <x:f>MAX(D72-E72, 0)</x:f>
        <x:v>1</x:v>
      </x:c>
      <x:c r="G72" s="47" t="n">
        <x:f>IF(D72=0,0,ABS(E72/D72))</x:f>
        <x:v>0.5</x:v>
      </x:c>
      <x:c r="H72" s="96"/>
      <x:c r="I72" s="97"/>
      <x:c r="J72" s="97"/>
      <x:c r="K72" s="98"/>
      <x:c r="L72" s="19" t="n">
        <x:v>17723.107142857140</x:v>
      </x:c>
      <x:c r="M72" s="97"/>
      <x:c r="N72" s="97"/>
      <x:c r="O72" s="100"/>
    </x:row>
    <x:row r="73" spans="1:19" hidden="1" outlineLevel="2" collapsed="1" x14ac:dyDescent="0.2">
      <x:c r="B73" s="45" t="inlineStr">
        <x:is>
          <x:t>J500</x:t>
        </x:is>
      </x:c>
      <x:c r="C73" s="46" t="inlineStr">
        <x:is>
          <x:t>Hofman, Aleksandra</x:t>
        </x:is>
      </x:c>
      <x:c r="D73" s="45" t="n">
        <x:v>1149.336</x:v>
      </x:c>
      <x:c r="E73" s="19" t="n">
        <x:v>0</x:v>
      </x:c>
      <x:c r="F73" s="19" t="n">
        <x:f>MAX(D73-E73, 0)</x:f>
        <x:v>1</x:v>
      </x:c>
      <x:c r="G73" s="47" t="n">
        <x:f>IF(D73=0,0,ABS(E73/D73))</x:f>
        <x:v>0.5</x:v>
      </x:c>
      <x:c r="H73" s="96"/>
      <x:c r="I73" s="97"/>
      <x:c r="J73" s="97"/>
      <x:c r="K73" s="98"/>
      <x:c r="L73" s="19" t="n">
        <x:v>3670.623</x:v>
      </x:c>
      <x:c r="M73" s="97"/>
      <x:c r="N73" s="97"/>
      <x:c r="O73" s="100"/>
    </x:row>
    <x:row r="74" spans="1:19" hidden="1" outlineLevel="2" collapsed="1" x14ac:dyDescent="0.2">
      <x:c r="B74" s="45" t="inlineStr">
        <x:is>
          <x:t>J500</x:t>
        </x:is>
      </x:c>
      <x:c r="C74" s="46" t="inlineStr">
        <x:is>
          <x:t>Mirecka-Glowacka, Justyna</x:t>
        </x:is>
      </x:c>
      <x:c r="D74" s="45" t="n">
        <x:v>3931.2</x:v>
      </x:c>
      <x:c r="E74" s="19" t="n">
        <x:v>0</x:v>
      </x:c>
      <x:c r="F74" s="19" t="n">
        <x:f>MAX(D74-E74, 0)</x:f>
        <x:v>1</x:v>
      </x:c>
      <x:c r="G74" s="47" t="n">
        <x:f>IF(D74=0,0,ABS(E74/D74))</x:f>
        <x:v>0.5</x:v>
      </x:c>
      <x:c r="H74" s="96"/>
      <x:c r="I74" s="97"/>
      <x:c r="J74" s="97"/>
      <x:c r="K74" s="98"/>
      <x:c r="L74" s="19" t="n">
        <x:v>22734.4</x:v>
      </x:c>
      <x:c r="M74" s="97"/>
      <x:c r="N74" s="97"/>
      <x:c r="O74" s="100"/>
    </x:row>
    <x:row r="75" spans="1:19" hidden="1" outlineLevel="2" collapsed="1" x14ac:dyDescent="0.2">
      <x:c r="B75" s="45" t="inlineStr">
        <x:is>
          <x:t>J500</x:t>
        </x:is>
      </x:c>
      <x:c r="C75" s="46" t="inlineStr">
        <x:is>
          <x:t>Nieciecka, Edyta</x:t>
        </x:is>
      </x:c>
      <x:c r="D75" s="45" t="n">
        <x:v>0</x:v>
      </x:c>
      <x:c r="E75" s="19" t="n">
        <x:v>0</x:v>
      </x:c>
      <x:c r="F75" s="19" t="n">
        <x:f>MAX(D75-E75, 0)</x:f>
        <x:v>1</x:v>
      </x:c>
      <x:c r="G75" s="47" t="n">
        <x:f>IF(D75=0,0,ABS(E75/D75))</x:f>
        <x:v>0.5</x:v>
      </x:c>
      <x:c r="H75" s="96"/>
      <x:c r="I75" s="97"/>
      <x:c r="J75" s="97"/>
      <x:c r="K75" s="98"/>
      <x:c r="L75" s="19" t="n">
        <x:v>5767.25</x:v>
      </x:c>
      <x:c r="M75" s="97"/>
      <x:c r="N75" s="97"/>
      <x:c r="O75" s="100"/>
    </x:row>
    <x:row r="76" spans="1:19" hidden="1" outlineLevel="2" collapsed="1" x14ac:dyDescent="0.2">
      <x:c r="B76" s="45" t="inlineStr">
        <x:is>
          <x:t>J500</x:t>
        </x:is>
      </x:c>
      <x:c r="C76" s="46" t="inlineStr">
        <x:is>
          <x:t>Pajewski, Marta</x:t>
        </x:is>
      </x:c>
      <x:c r="D76" s="45" t="n">
        <x:v>1797.75</x:v>
      </x:c>
      <x:c r="E76" s="19" t="n">
        <x:v>0</x:v>
      </x:c>
      <x:c r="F76" s="19" t="n">
        <x:f>MAX(D76-E76, 0)</x:f>
        <x:v>1</x:v>
      </x:c>
      <x:c r="G76" s="47" t="n">
        <x:f>IF(D76=0,0,ABS(E76/D76))</x:f>
        <x:v>0.5</x:v>
      </x:c>
      <x:c r="H76" s="96"/>
      <x:c r="I76" s="97"/>
      <x:c r="J76" s="97"/>
      <x:c r="K76" s="98"/>
      <x:c r="L76" s="19" t="n">
        <x:v>11542.69642857143</x:v>
      </x:c>
      <x:c r="M76" s="97"/>
      <x:c r="N76" s="97"/>
      <x:c r="O76" s="100"/>
    </x:row>
    <x:row r="77" spans="1:19" hidden="1" outlineLevel="2" collapsed="1" x14ac:dyDescent="0.2">
      <x:c r="B77" s="45" t="inlineStr">
        <x:is>
          <x:t>J500</x:t>
        </x:is>
      </x:c>
      <x:c r="C77" s="46" t="inlineStr">
        <x:is>
          <x:t>Piela, Anna</x:t>
        </x:is>
      </x:c>
      <x:c r="D77" s="45" t="n">
        <x:v>4108</x:v>
      </x:c>
      <x:c r="E77" s="19" t="n">
        <x:v>0</x:v>
      </x:c>
      <x:c r="F77" s="19" t="n">
        <x:f>MAX(D77-E77, 0)</x:f>
        <x:v>1</x:v>
      </x:c>
      <x:c r="G77" s="47" t="n">
        <x:f>IF(D77=0,0,ABS(E77/D77))</x:f>
        <x:v>0.5</x:v>
      </x:c>
      <x:c r="H77" s="96"/>
      <x:c r="I77" s="97"/>
      <x:c r="J77" s="97"/>
      <x:c r="K77" s="98"/>
      <x:c r="L77" s="19" t="n">
        <x:v>19594.38</x:v>
      </x:c>
      <x:c r="M77" s="97"/>
      <x:c r="N77" s="97"/>
      <x:c r="O77" s="100"/>
    </x:row>
    <x:row r="78" spans="1:19" hidden="1" outlineLevel="2" collapsed="1" x14ac:dyDescent="0.2">
      <x:c r="B78" s="45" t="inlineStr">
        <x:is>
          <x:t>J500</x:t>
        </x:is>
      </x:c>
      <x:c r="C78" s="46" t="inlineStr">
        <x:is>
          <x:t>Staszewska, Urszula</x:t>
        </x:is>
      </x:c>
      <x:c r="D78" s="45" t="n">
        <x:v>4555.2</x:v>
      </x:c>
      <x:c r="E78" s="19" t="n">
        <x:v>0</x:v>
      </x:c>
      <x:c r="F78" s="19" t="n">
        <x:f>MAX(D78-E78, 0)</x:f>
        <x:v>1</x:v>
      </x:c>
      <x:c r="G78" s="47" t="n">
        <x:f>IF(D78=0,0,ABS(E78/D78))</x:f>
        <x:v>0.5</x:v>
      </x:c>
      <x:c r="H78" s="53"/>
      <x:c r="I78" s="54"/>
      <x:c r="J78" s="54"/>
      <x:c r="K78" s="55"/>
      <x:c r="L78" s="19" t="n">
        <x:v>25832.82</x:v>
      </x:c>
      <x:c r="M78" s="54"/>
      <x:c r="N78" s="54"/>
      <x:c r="O78" s="71"/>
    </x:row>
    <x:row r="79" spans="1:19" outlineLevel="1" x14ac:dyDescent="0.2">
      <x:c r="B79" s="58" t="inlineStr">
        <x:v>49</x:v>
        <x:is>
          <x:t>Total J500</x:t>
        </x:is>
      </x:c>
      <x:c r="C79" s="59"/>
      <x:c r="D79" s="58" t="n">
        <x:v>27053.64314285714</x:v>
      </x:c>
      <x:c r="E79" s="60" t="n">
        <x:v>0</x:v>
      </x:c>
      <x:c r="F79" s="60" t="n">
        <x:f>MAX(D79-E79, 0)</x:f>
        <x:v>1</x:v>
      </x:c>
      <x:c r="G79" s="61" t="n">
        <x:f>IF(D79=0,0,ABS(E79/D79))</x:f>
        <x:v>0.5</x:v>
      </x:c>
      <x:c r="H79" s="58" t="n">
        <x:v>233703.6205238096</x:v>
      </x:c>
      <x:c r="I79" s="60" t="n">
        <x:v>240084.71374404761402</x:v>
      </x:c>
      <x:c r="J79" s="62" t="n">
        <x:f>IF(H79=0,"No plan at start",I79/H79)</x:f>
        <x:v>2</x:v>
      </x:c>
      <x:c r="K79" s="60" t="n">
        <x:f>MAX(H79-I79, 0)</x:f>
        <x:v>0</x:v>
      </x:c>
      <x:c r="L79" s="60" t="n">
        <x:v>123310.371071428570</x:v>
      </x:c>
      <x:c r="M79" s="60" t="n">
        <x:f>I79+L79</x:f>
        <x:v>3</x:v>
      </x:c>
      <x:c r="N79" s="60" t="n">
        <x:f>M79+H79</x:f>
        <x:v>2</x:v>
      </x:c>
      <x:c r="O79" s="61" t="n">
        <x:f>IF(H79=0,"No plan at start",M79/H79)</x:f>
        <x:v>3</x:v>
      </x:c>
    </x:row>
    <x:row r="80" spans="1:19" hidden="1" outlineLevel="2" collapsed="1" x14ac:dyDescent="0.2">
      <x:c r="B80" s="45" t="inlineStr">
        <x:is>
          <x:t>N707</x:t>
        </x:is>
      </x:c>
      <x:c r="C80" s="46" t="inlineStr">
        <x:is>
          <x:t>Skowyrski, Szymon</x:t>
        </x:is>
      </x:c>
      <x:c r="D80" s="45" t="n">
        <x:v>3494.4</x:v>
      </x:c>
      <x:c r="E80" s="19" t="n">
        <x:v>0</x:v>
      </x:c>
      <x:c r="F80" s="19" t="n">
        <x:f>MAX(D80-E80, 0)</x:f>
        <x:v>1</x:v>
      </x:c>
      <x:c r="G80" s="47" t="n">
        <x:f>IF(D80=0,0,ABS(E80/D80))</x:f>
        <x:v>0.5</x:v>
      </x:c>
      <x:c r="H80" s="52"/>
      <x:c r="I80" s="50"/>
      <x:c r="J80" s="50"/>
      <x:c r="K80" s="51"/>
      <x:c r="L80" s="19" t="n">
        <x:v>0</x:v>
      </x:c>
      <x:c r="M80" s="50"/>
      <x:c r="N80" s="50"/>
      <x:c r="O80" s="70"/>
    </x:row>
    <x:row r="81" spans="1:19" ht="13.5" outlineLevel="1" thickBot="1" x14ac:dyDescent="0.25">
      <x:c r="B81" s="63" t="inlineStr">
        <x:v>49</x:v>
        <x:is>
          <x:t>Total N707</x:t>
        </x:is>
      </x:c>
      <x:c r="C81" s="64"/>
      <x:c r="D81" s="63" t="n">
        <x:v>3494.4</x:v>
      </x:c>
      <x:c r="E81" s="65" t="n">
        <x:v>0</x:v>
      </x:c>
      <x:c r="F81" s="65" t="n">
        <x:f>MAX(D81-E81, 0)</x:f>
        <x:v>0</x:v>
      </x:c>
      <x:c r="G81" s="66" t="n">
        <x:f>IF(D81=0,0,ABS(E81/D81))</x:f>
        <x:v>4</x:v>
      </x:c>
      <x:c r="H81" s="63" t="n">
        <x:v>9131.2</x:v>
      </x:c>
      <x:c r="I81" s="65" t="n">
        <x:v>52</x:v>
      </x:c>
      <x:c r="J81" s="67" t="n">
        <x:f>IF(H81=0,"No plan at start",I81/H81)</x:f>
        <x:v>0.5</x:v>
      </x:c>
      <x:c r="K81" s="65" t="n">
        <x:f>MAX(H81-I81, 0)</x:f>
        <x:v>1</x:v>
      </x:c>
      <x:c r="L81" s="65" t="n">
        <x:v>0</x:v>
      </x:c>
      <x:c r="M81" s="65" t="n">
        <x:f>I81+L81</x:f>
        <x:v>6</x:v>
      </x:c>
      <x:c r="N81" s="65" t="n">
        <x:f>M81+H81</x:f>
        <x:v>4</x:v>
      </x:c>
      <x:c r="O81" s="66" t="n">
        <x:f>IF(H81=0,"No plan at start",M81/H81)</x:f>
        <x:v>3</x:v>
      </x:c>
    </x:row>
    <x:row r="82" x14ac:dyDescent="0.2"/>
  </x:sheetData>
  <x:mergeCells count="9">
    <x:mergeCell ref="B2:C2"/>
    <x:mergeCell ref="F2:G2"/>
    <x:mergeCell ref="F4:G4"/>
    <x:mergeCell ref="F5:O7"/>
    <x:mergeCell ref="F8:M9"/>
    <x:mergeCell ref="D14:G14"/>
    <x:mergeCell ref="H14:O14"/>
    <x:mergeCell ref="D50:G50"/>
    <x:mergeCell ref="H50:O50"/>
  </x:mergeCells>
  <x:conditionalFormatting sqref="K22 N22 K32 N32 K43 N43 K45 N45 F17:F45 K58 N58 K68 N68 K79 N79 K81 N81 F53:F81">
    <x:cfRule type="cellIs" dxfId="1" priority="1" operator="greaterThan">
      <x:formula>0</x:formula>
    </x:cfRule>
    <x:cfRule type="cellIs" dxfId="0" priority="2" operator="lessThanOrEqual">
      <x:formula>0</x:formula>
    </x:cfRule>
  </x:conditionalFormatting>
  <x:pageMargins left="0.7" right="0.7" top="0.75" bottom="0.75" header="0.3" footer="0.3"/>
  <x:pageSetup orientation="portrait" r:id="rId1"/>
  <x:drawing r:id="rId2"/>
  <x:legacyDrawing r:id="rId3"/>
  <mc:AlternateContent xmlns:mc="http://schemas.openxmlformats.org/markup-compatibility/2006">
    <mc:Choice Requires="x14">
      <x:controls>
        <mc:AlternateContent xmlns:mc="http://schemas.openxmlformats.org/markup-compatibility/2006">
          <mc:Choice Requires="x14">
            <x:control shapeId="1026" r:id="rId4" name="Button 2">
              <x:controlPr defaultSize="0" print="0" autoFill="0" autoPict="0" macro="[0]!SendMsg_Click">
                <x:anchor moveWithCells="1" sizeWithCells="1">
                  <x:from>
                    <xdr:col>13</xdr:col>
                    <xdr:colOff>447675</xdr:colOff>
                    <xdr:row>7</xdr:row>
                    <xdr:rowOff>152400</xdr:rowOff>
                  </x:from>
                  <x:to>
                    <xdr:col>15</xdr:col>
                    <xdr:colOff>0</xdr:colOff>
                    <xdr:row>8</xdr:row>
                    <xdr:rowOff>266700</xdr:rowOff>
                  </x:to>
                </x:anchor>
              </x:controlPr>
            </x:control>
          </mc:Choice>
        </mc:AlternateContent>
      </x:controls>
    </mc:Choice>
  </mc:AlternateContent>
</x: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Arkusze</vt:lpstr>
      </vt:variant>
      <vt:variant>
        <vt:i4>1</vt:i4>
      </vt:variant>
    </vt:vector>
  </HeadingPairs>
  <TitlesOfParts>
    <vt:vector size="1" baseType="lpstr">
      <vt:lpstr>Report</vt:lpstr>
    </vt:vector>
  </TitlesOfParts>
  <Company>ILF</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Tomasz Oryński</dc:creator>
  <cp:lastModifiedBy>Tomasz Oryński</cp:lastModifiedBy>
  <dcterms:created xsi:type="dcterms:W3CDTF">2017-02-10T14:49:17Z</dcterms:created>
  <dcterms:modified xsi:type="dcterms:W3CDTF">2017-06-25T05:49:19Z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SAVE_PATH_">
    <vt:lpwstr>SAVE_PATH</vt:lpwstr>
  </property>
</Properties>
</file>