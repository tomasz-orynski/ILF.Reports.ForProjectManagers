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<sst xmlns="http://schemas.openxmlformats.org/spreadsheetml/2006/main" count="79" uniqueCount="50">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</sst>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42856</x:v>
      </x:c>
      <x:c r="I2" s="21" t="s">
        <x:v>11</x:v>
      </x:c>
      <x:c r="J2" s="33" t="n">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 Engineering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Tomczynski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Kowalczyk, Bartosz</x:t>
        </x:is>
      </x:c>
      <x:c r="D17" s="45" t="n">
        <x:v>151.2</x:v>
      </x:c>
      <x:c r="E17" s="19" t="n">
        <x:v>0</x:v>
      </x:c>
      <x:c r="F17" s="19" t="n">
        <x:f>MAX(D17-E17, 0)</x:f>
        <x:v>1</x:v>
      </x:c>
      <x:c r="G17" s="47" t="n">
        <x:f>IF(D17=0,0,ABS(E17/D17))</x:f>
        <x:v>0.5</x:v>
      </x:c>
      <x:c r="H17" s="52"/>
      <x:c r="I17" s="50"/>
      <x:c r="J17" s="50"/>
      <x:c r="K17" s="51"/>
      <x:c r="L17" s="19" t="n">
        <x:v>1602.4</x:v>
      </x:c>
      <x:c r="M17" s="56"/>
      <x:c r="N17" s="50"/>
      <x:c r="O17" s="70"/>
      <x:c r="P17" s="29"/>
      <x:c r="Q17" s="30"/>
      <x:c r="R17" s="31"/>
      <x:c r="S17" s="31"/>
    </x:row>
    <x:row r="18" spans="1:19" s="7" customFormat="1" hidden="1" outlineLevel="2" collapsed="1" x14ac:dyDescent="0.2">
      <x:c r="A18" s="5"/>
      <x:c r="B18" s="45" t="inlineStr">
        <x:is>
          <x:t>E872</x:t>
        </x:is>
      </x:c>
      <x:c r="C18" s="46" t="inlineStr">
        <x:is>
          <x:t>Tomczynski, Michal</x:t>
        </x:is>
      </x:c>
      <x:c r="D18" s="45" t="n">
        <x:v>168</x:v>
      </x:c>
      <x:c r="E18" s="19" t="n">
        <x:v>0</x:v>
      </x:c>
      <x:c r="F18" s="19" t="n">
        <x:f>MAX(D18-E18, 0)</x:f>
        <x:v>1</x:v>
      </x:c>
      <x:c r="G18" s="47" t="n">
        <x:f>IF(D18=0,0,ABS(E18/D18))</x:f>
        <x:v>0.5</x:v>
      </x:c>
      <x:c r="H18" s="72"/>
      <x:c r="I18" s="73"/>
      <x:c r="J18" s="73"/>
      <x:c r="K18" s="74"/>
      <x:c r="L18" s="19" t="n">
        <x:v>1774.4</x:v>
      </x:c>
      <x:c r="M18" s="75"/>
      <x:c r="N18" s="73"/>
      <x:c r="O18" s="76"/>
      <x:c r="P18" s="29"/>
      <x:c r="Q18" s="30"/>
      <x:c r="R18" s="31"/>
      <x:c r="S18" s="31"/>
    </x:row>
    <x:row r="19" spans="1:19" s="7" customFormat="1" hidden="1" outlineLevel="2" collapsed="1" x14ac:dyDescent="0.2">
      <x:c r="A19" s="5"/>
      <x:c r="B19" s="45" t="inlineStr">
        <x:is>
          <x:t>E872</x:t>
        </x:is>
      </x:c>
      <x:c r="C19" s="46" t="inlineStr">
        <x:is>
          <x:t>Zurek, Mateusz</x:t>
        </x:is>
      </x:c>
      <x:c r="D19" s="45" t="n">
        <x:v>67.2</x:v>
      </x:c>
      <x:c r="E19" s="19" t="n">
        <x:v>0</x:v>
      </x:c>
      <x:c r="F19" s="19" t="n">
        <x:f>MAX(D19-E19, 0)</x:f>
        <x:v>1</x:v>
      </x:c>
      <x:c r="G19" s="47" t="n">
        <x:f>IF(D19=0,0,ABS(E19/D19))</x:f>
        <x:v>0.5</x:v>
      </x:c>
      <x:c r="H19" s="72"/>
      <x:c r="I19" s="73"/>
      <x:c r="J19" s="73"/>
      <x:c r="K19" s="74"/>
      <x:c r="L19" s="19" t="n">
        <x:v>236.8</x:v>
      </x:c>
      <x:c r="M19" s="57"/>
      <x:c r="N19" s="54"/>
      <x:c r="O19" s="71"/>
      <x:c r="P19" s="29"/>
      <x:c r="Q19" s="30"/>
      <x:c r="R19" s="31"/>
      <x:c r="S19" s="31"/>
    </x:row>
    <x:row r="20" spans="1:19" s="7" customFormat="1" ht="13.5" outlineLevel="1" thickBot="1" x14ac:dyDescent="0.25">
      <x:c r="A20" s="5"/>
      <x:c r="B20" s="63" t="inlineStr">
        <x:v>49</x:v>
        <x:is>
          <x:t>Total E872</x:t>
        </x:is>
      </x:c>
      <x:c r="C20" s="64"/>
      <x:c r="D20" s="63" t="n">
        <x:v>386.4</x:v>
      </x:c>
      <x:c r="E20" s="65" t="n">
        <x:v>0</x:v>
      </x:c>
      <x:c r="F20" s="65" t="n">
        <x:f>MAX(D20-E20, 0)</x:f>
        <x:v>0</x:v>
      </x:c>
      <x:c r="G20" s="66" t="n">
        <x:f>IF(D20=0,0,ABS(E20/D20))</x:f>
        <x:v>0</x:v>
      </x:c>
      <x:c r="H20" s="63" t="n">
        <x:v>664.8</x:v>
      </x:c>
      <x:c r="I20" s="65" t="n">
        <x:v>7827.00</x:v>
      </x:c>
      <x:c r="J20" s="67" t="n">
        <x:f>IF(H20=0,"No plan at start",I20/H20)</x:f>
        <x:v>0.5</x:v>
      </x:c>
      <x:c r="K20" s="65" t="n">
        <x:f>MAX(H20-I20, 0)</x:f>
        <x:v>1</x:v>
      </x:c>
      <x:c r="L20" s="65" t="n">
        <x:v>3613.6</x:v>
      </x:c>
      <x:c r="M20" s="65" t="n">
        <x:f>I20+L20</x:f>
        <x:v>6</x:v>
      </x:c>
      <x:c r="N20" s="65" t="n">
        <x:f>M20+H20</x:f>
        <x:v>4</x:v>
      </x:c>
      <x:c r="O20" s="66" t="n">
        <x:f>IF(H20=0,"No plan at start",M20/H20)</x:f>
        <x:v>3</x:v>
      </x:c>
      <x:c r="P20" s="29"/>
      <x:c r="Q20" s="30"/>
      <x:c r="R20" s="31"/>
      <x:c r="S20" s="31"/>
    </x:row>
    <x:row r="21" x14ac:dyDescent="0.2"/>
    <x:row r="22" x14ac:dyDescent="0.2"/>
    <x:row r="23" spans="1:19" x14ac:dyDescent="0.2">
      <x:c r="B23" s="14" t="s">
        <x:v>30</x:v>
      </x:c>
      <x:c r="C23" s="15"/>
      <x:c r="D23" s="15"/>
      <x:c r="E23" s="15"/>
      <x:c r="F23" s="16"/>
      <x:c r="G23" s="16"/>
      <x:c r="H23" s="17"/>
      <x:c r="I23" s="7"/>
      <x:c r="J23" s="7"/>
      <x:c r="K23" s="18"/>
      <x:c r="L23" s="7"/>
      <x:c r="M23" s="25"/>
      <x:c r="N23" s="7"/>
      <x:c r="O23" s="7"/>
    </x:row>
    <x:row r="24" spans="1:19" ht="13.5" thickBot="1" x14ac:dyDescent="0.25">
      <x:c r="B24" s="7"/>
      <x:c r="C24" s="7"/>
      <x:c r="D24" s="7"/>
      <x:c r="E24" s="7"/>
      <x:c r="F24" s="7"/>
      <x:c r="G24" s="7"/>
      <x:c r="H24" s="7"/>
      <x:c r="I24" s="7"/>
      <x:c r="J24" s="7"/>
      <x:c r="K24" s="7"/>
      <x:c r="L24" s="7"/>
      <x:c r="M24" s="7"/>
      <x:c r="N24" s="7"/>
      <x:c r="O24" s="7"/>
    </x:row>
    <x:row r="25" spans="1:19" x14ac:dyDescent="0.2">
      <x:c r="B25" s="48"/>
      <x:c r="C25" s="49"/>
      <x:c r="D25" s="77" t="s">
        <x:v>39</x:v>
      </x:c>
      <x:c r="E25" s="78"/>
      <x:c r="F25" s="78"/>
      <x:c r="G25" s="79"/>
      <x:c r="H25" s="77" t="s">
        <x:v>40</x:v>
      </x:c>
      <x:c r="I25" s="78"/>
      <x:c r="J25" s="78"/>
      <x:c r="K25" s="78"/>
      <x:c r="L25" s="78"/>
      <x:c r="M25" s="78"/>
      <x:c r="N25" s="78"/>
      <x:c r="O25" s="79"/>
    </x:row>
    <x:row r="26" spans="1:19" x14ac:dyDescent="0.2">
      <x:c r="B26" s="68"/>
      <x:c r="C26" s="69"/>
      <x:c r="D26" s="36" t="s">
        <x:v>2</x:v>
      </x:c>
      <x:c r="E26" s="38" t="s">
        <x:v>3</x:v>
      </x:c>
      <x:c r="F26" s="38" t="s">
        <x:v>44</x:v>
      </x:c>
      <x:c r="G26" s="37" t="s">
        <x:v>41</x:v>
      </x:c>
      <x:c r="H26" s="36" t="s">
        <x:v>20</x:v>
      </x:c>
      <x:c r="I26" s="38" t="s">
        <x:v>34</x:v>
      </x:c>
      <x:c r="J26" s="39" t="s">
        <x:v>35</x:v>
      </x:c>
      <x:c r="K26" s="39" t="s">
        <x:v>36</x:v>
      </x:c>
      <x:c r="L26" s="38" t="s">
        <x:v>19</x:v>
      </x:c>
      <x:c r="M26" s="38" t="s">
        <x:v>37</x:v>
      </x:c>
      <x:c r="N26" s="38" t="s">
        <x:v>22</x:v>
      </x:c>
      <x:c r="O26" s="37" t="s">
        <x:v>23</x:v>
      </x:c>
    </x:row>
    <x:row r="27" spans="1:19" ht="76.5" x14ac:dyDescent="0.2">
      <x:c r="B27" s="40" t="s">
        <x:v>14</x:v>
      </x:c>
      <x:c r="C27" s="41" t="s">
        <x:v>28</x:v>
      </x:c>
      <x:c r="D27" s="40" t="s">
        <x:v>45</x:v>
      </x:c>
      <x:c r="E27" s="42" t="s">
        <x:v>15</x:v>
      </x:c>
      <x:c r="F27" s="42" t="s">
        <x:v>42</x:v>
      </x:c>
      <x:c r="G27" s="41" t="s">
        <x:v>43</x:v>
      </x:c>
      <x:c r="H27" s="40" t="s">
        <x:v>46</x:v>
      </x:c>
      <x:c r="I27" s="42" t="s">
        <x:v>31</x:v>
      </x:c>
      <x:c r="J27" s="43" t="s">
        <x:v>47</x:v>
      </x:c>
      <x:c r="K27" s="43" t="s">
        <x:v>17</x:v>
      </x:c>
      <x:c r="L27" s="42" t="s">
        <x:v>48</x:v>
      </x:c>
      <x:c r="M27" s="42" t="s">
        <x:v>32</x:v>
      </x:c>
      <x:c r="N27" s="42" t="s">
        <x:v>33</x:v>
      </x:c>
      <x:c r="O27" s="41" t="s">
        <x:v>24</x:v>
      </x:c>
    </x:row>
    <x:row r="28" spans="1:19" hidden="1" outlineLevel="2" collapsed="1" x14ac:dyDescent="0.2">
      <x:c r="B28" s="45" t="inlineStr">
        <x:is>
          <x:t>E872</x:t>
        </x:is>
      </x:c>
      <x:c r="C28" s="46" t="inlineStr">
        <x:is>
          <x:t>Kowalczyk, Bartosz</x:t>
        </x:is>
      </x:c>
      <x:c r="D28" s="45" t="n">
        <x:v>3931.2</x:v>
      </x:c>
      <x:c r="E28" s="19" t="n">
        <x:v>0</x:v>
      </x:c>
      <x:c r="F28" s="19" t="n">
        <x:f>MAX(D28-E28, 0)</x:f>
        <x:v>1</x:v>
      </x:c>
      <x:c r="G28" s="47" t="n">
        <x:f>IF(D28=0,0,ABS(E28/D28))</x:f>
        <x:v>0.5</x:v>
      </x:c>
      <x:c r="H28" s="52"/>
      <x:c r="I28" s="50"/>
      <x:c r="J28" s="50"/>
      <x:c r="K28" s="51"/>
      <x:c r="L28" s="19" t="n">
        <x:v>41662.4</x:v>
      </x:c>
      <x:c r="M28" s="50"/>
      <x:c r="N28" s="50"/>
      <x:c r="O28" s="70"/>
    </x:row>
    <x:row r="29" spans="1:19" hidden="1" outlineLevel="2" collapsed="1" x14ac:dyDescent="0.2">
      <x:c r="B29" s="45" t="inlineStr">
        <x:is>
          <x:t>E872</x:t>
        </x:is>
      </x:c>
      <x:c r="C29" s="46" t="inlineStr">
        <x:is>
          <x:t>Tomczynski, Michal</x:t>
        </x:is>
      </x:c>
      <x:c r="D29" s="45" t="n">
        <x:v>4368</x:v>
      </x:c>
      <x:c r="E29" s="19" t="n">
        <x:v>0</x:v>
      </x:c>
      <x:c r="F29" s="19" t="n">
        <x:f>MAX(D29-E29, 0)</x:f>
        <x:v>1</x:v>
      </x:c>
      <x:c r="G29" s="47" t="n">
        <x:f>IF(D29=0,0,ABS(E29/D29))</x:f>
        <x:v>0.5</x:v>
      </x:c>
      <x:c r="H29" s="72"/>
      <x:c r="I29" s="73"/>
      <x:c r="J29" s="73"/>
      <x:c r="K29" s="74"/>
      <x:c r="L29" s="19" t="n">
        <x:v>46134.4</x:v>
      </x:c>
      <x:c r="M29" s="73"/>
      <x:c r="N29" s="73"/>
      <x:c r="O29" s="76"/>
    </x:row>
    <x:row r="30" spans="1:19" hidden="1" outlineLevel="2" collapsed="1" x14ac:dyDescent="0.2">
      <x:c r="B30" s="45" t="inlineStr">
        <x:is>
          <x:t>E872</x:t>
        </x:is>
      </x:c>
      <x:c r="C30" s="46" t="inlineStr">
        <x:is>
          <x:t>Zurek, Mateusz</x:t>
        </x:is>
      </x:c>
      <x:c r="D30" s="45" t="n">
        <x:v>1747.2</x:v>
      </x:c>
      <x:c r="E30" s="19" t="n">
        <x:v>0</x:v>
      </x:c>
      <x:c r="F30" s="19" t="n">
        <x:f>MAX(D30-E30, 0)</x:f>
        <x:v>1</x:v>
      </x:c>
      <x:c r="G30" s="47" t="n">
        <x:f>IF(D30=0,0,ABS(E30/D30))</x:f>
        <x:v>0.5</x:v>
      </x:c>
      <x:c r="H30" s="53"/>
      <x:c r="I30" s="54"/>
      <x:c r="J30" s="54"/>
      <x:c r="K30" s="55"/>
      <x:c r="L30" s="19" t="n">
        <x:v>6156.8</x:v>
      </x:c>
      <x:c r="M30" s="54"/>
      <x:c r="N30" s="54"/>
      <x:c r="O30" s="71"/>
    </x:row>
    <x:row r="31" spans="1:19" ht="13.5" outlineLevel="1" thickBot="1" x14ac:dyDescent="0.25">
      <x:c r="B31" s="63" t="inlineStr">
        <x:v>49</x:v>
        <x:is>
          <x:t>Total E872</x:t>
        </x:is>
      </x:c>
      <x:c r="C31" s="64"/>
      <x:c r="D31" s="63" t="n">
        <x:v>10046.4</x:v>
      </x:c>
      <x:c r="E31" s="65" t="n">
        <x:v>0</x:v>
      </x:c>
      <x:c r="F31" s="65" t="n">
        <x:f>MAX(D31-E31, 0)</x:f>
        <x:v>0</x:v>
      </x:c>
      <x:c r="G31" s="66" t="n">
        <x:f>IF(D31=0,0,ABS(E31/D31))</x:f>
        <x:v>4</x:v>
      </x:c>
      <x:c r="H31" s="63" t="n">
        <x:v>17284.8</x:v>
      </x:c>
      <x:c r="I31" s="65" t="n">
        <x:v>240853.08</x:v>
      </x:c>
      <x:c r="J31" s="67" t="n">
        <x:f>IF(H31=0,"No plan at start",I31/H31)</x:f>
        <x:v>0.5</x:v>
      </x:c>
      <x:c r="K31" s="65" t="n">
        <x:f>MAX(H31-I31, 0)</x:f>
        <x:v>1</x:v>
      </x:c>
      <x:c r="L31" s="65" t="n">
        <x:v>93953.6</x:v>
      </x:c>
      <x:c r="M31" s="65" t="n">
        <x:f>I31+L31</x:f>
        <x:v>6</x:v>
      </x:c>
      <x:c r="N31" s="65" t="n">
        <x:f>M31+H31</x:f>
        <x:v>4</x:v>
      </x:c>
      <x:c r="O31" s="66" t="n">
        <x:f>IF(H31=0,"No plan at start",M31/H31)</x:f>
        <x:v>3</x:v>
      </x:c>
    </x:row>
    <x:row r="32" x14ac:dyDescent="0.2"/>
  </x:sheetData>
  <x:mergeCells count="9">
    <x:mergeCell ref="B2:C2"/>
    <x:mergeCell ref="F2:G2"/>
    <x:mergeCell ref="F4:G4"/>
    <x:mergeCell ref="F5:O7"/>
    <x:mergeCell ref="F8:M9"/>
    <x:mergeCell ref="D14:G14"/>
    <x:mergeCell ref="H14:O14"/>
    <x:mergeCell ref="D25:G25"/>
    <x:mergeCell ref="H25:O25"/>
  </x:mergeCells>
  <x:conditionalFormatting sqref="K20 N20 F17:F20 K31 N31 F28:F3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vt:lpwstr>
  </op:property>
</op:Properties>
</file>