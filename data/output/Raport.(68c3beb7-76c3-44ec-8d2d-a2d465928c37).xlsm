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<sst xmlns="http://schemas.openxmlformats.org/spreadsheetml/2006/main" count="79" uniqueCount="50">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</sst>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GIS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Beata Musial</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Musial, Beata</x:t>
        </x:is>
      </x:c>
      <x:c r="D17" s="45" t="n">
        <x:v>0</x:v>
      </x:c>
      <x:c r="E17" s="19" t="n">
        <x:v>1</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x:v>
      </x:c>
      <x:c r="F18" s="60" t="n">
        <x:f>MAX(D18-E18, 0)</x:f>
        <x:v>1</x:v>
      </x:c>
      <x:c r="G18" s="61" t="n">
        <x:f>IF(D18=0,0,ABS(E18/D18))</x:f>
        <x:v>0.5</x:v>
      </x:c>
      <x:c r="H18" s="58" t="n">
        <x:v>0</x:v>
      </x:c>
      <x:c r="I18" s="60" t="n">
        <x:v>5041.25</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H919</x:t>
        </x:is>
      </x:c>
      <x:c r="C19" s="46" t="inlineStr">
        <x:is>
          <x:t>Musial, Beata</x:t>
        </x:is>
      </x:c>
      <x:c r="D19" s="45" t="n">
        <x:v>0</x:v>
      </x:c>
      <x:c r="E19" s="19" t="n">
        <x:v>8</x:v>
      </x:c>
      <x:c r="F19" s="19" t="n">
        <x:f>MAX(D19-E19, 0)</x:f>
        <x:v>1</x:v>
      </x:c>
      <x:c r="G19" s="47" t="n">
        <x:f>IF(D19=0,0,ABS(E19/D19))</x:f>
        <x:v>0.5</x:v>
      </x:c>
      <x:c r="H19" s="52"/>
      <x:c r="I19" s="50"/>
      <x:c r="J19" s="50"/>
      <x:c r="K19" s="51"/>
      <x:c r="L19" s="19" t="n">
        <x:v>24</x:v>
      </x:c>
      <x:c r="M19" s="56"/>
      <x:c r="N19" s="50"/>
      <x:c r="O19" s="70"/>
      <x:c r="P19" s="29"/>
      <x:c r="Q19" s="30"/>
      <x:c r="R19" s="31"/>
      <x:c r="S19" s="31"/>
    </x:row>
    <x:row r="20" spans="1:19" s="7" customFormat="1" outlineLevel="1" x14ac:dyDescent="0.2">
      <x:c r="A20" s="5"/>
      <x:c r="B20" s="58" t="inlineStr">
        <x:v>49</x:v>
        <x:is>
          <x:t>Total H919</x:t>
        </x:is>
      </x:c>
      <x:c r="C20" s="59"/>
      <x:c r="D20" s="58" t="n">
        <x:v>0</x:v>
      </x:c>
      <x:c r="E20" s="60" t="n">
        <x:v>8</x:v>
      </x:c>
      <x:c r="F20" s="60" t="n">
        <x:f>MAX(D20-E20, 0)</x:f>
        <x:v>1</x:v>
      </x:c>
      <x:c r="G20" s="61" t="n">
        <x:f>IF(D20=0,0,ABS(E20/D20))</x:f>
        <x:v>0.5</x:v>
      </x:c>
      <x:c r="H20" s="58" t="n">
        <x:v>0</x:v>
      </x:c>
      <x:c r="I20" s="60" t="n">
        <x:v>4656.30</x:v>
      </x:c>
      <x:c r="J20" s="62" t="n">
        <x:f>IF(H20=0,"No plan at start",I20/H20)</x:f>
        <x:v>2</x:v>
      </x:c>
      <x:c r="K20" s="60" t="n">
        <x:f>MAX(H20-I20, 0)</x:f>
        <x:v>0</x:v>
      </x:c>
      <x:c r="L20" s="60" t="n">
        <x:v>24</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J500</x:t>
        </x:is>
      </x:c>
      <x:c r="C21" s="46" t="inlineStr">
        <x:is>
          <x:t>Musial, Beata</x:t>
        </x:is>
      </x:c>
      <x:c r="D21" s="45" t="n">
        <x:v>108.85</x:v>
      </x:c>
      <x:c r="E21" s="19" t="n">
        <x:v>60</x:v>
      </x:c>
      <x:c r="F21" s="19" t="n">
        <x:f>MAX(D21-E21, 0)</x:f>
        <x:v>1</x:v>
      </x:c>
      <x:c r="G21" s="47" t="n">
        <x:f>IF(D21=0,0,ABS(E21/D21))</x:f>
        <x:v>0.5</x:v>
      </x:c>
      <x:c r="H21" s="52"/>
      <x:c r="I21" s="50"/>
      <x:c r="J21" s="50"/>
      <x:c r="K21" s="51"/>
      <x:c r="L21" s="19" t="n">
        <x:v>376.06</x:v>
      </x:c>
      <x:c r="M21" s="56"/>
      <x:c r="N21" s="50"/>
      <x:c r="O21" s="70"/>
      <x:c r="P21" s="29"/>
      <x:c r="Q21" s="30"/>
      <x:c r="R21" s="31"/>
      <x:c r="S21" s="31"/>
    </x:row>
    <x:row r="22" spans="1:19" s="7" customFormat="1" hidden="1" outlineLevel="2" collapsed="1" x14ac:dyDescent="0.2">
      <x:c r="A22" s="5"/>
      <x:c r="B22" s="45" t="inlineStr">
        <x:is>
          <x:t>J500</x:t>
        </x:is>
      </x:c>
      <x:c r="C22" s="46" t="inlineStr">
        <x:is>
          <x:t>Radziszewski, Rafal</x:t>
        </x:is>
      </x:c>
      <x:c r="D22" s="45" t="n">
        <x:v>50.4</x:v>
      </x:c>
      <x:c r="E22" s="19" t="n">
        <x:v>15.5</x:v>
      </x:c>
      <x:c r="F22" s="19" t="n">
        <x:f>MAX(D22-E22, 0)</x:f>
        <x:v>1</x:v>
      </x:c>
      <x:c r="G22" s="47" t="n">
        <x:f>IF(D22=0,0,ABS(E22/D22))</x:f>
        <x:v>0.5</x:v>
      </x:c>
      <x:c r="H22" s="72"/>
      <x:c r="I22" s="73"/>
      <x:c r="J22" s="73"/>
      <x:c r="K22" s="74"/>
      <x:c r="L22" s="19" t="n">
        <x:v>120.4</x:v>
      </x:c>
      <x:c r="M22" s="57"/>
      <x:c r="N22" s="54"/>
      <x:c r="O22" s="71"/>
      <x:c r="P22" s="29"/>
      <x:c r="Q22" s="30"/>
      <x:c r="R22" s="31"/>
      <x:c r="S22" s="31"/>
    </x:row>
    <x:row r="23" spans="1:19" s="7" customFormat="1" outlineLevel="1" x14ac:dyDescent="0.2">
      <x:c r="A23" s="5"/>
      <x:c r="B23" s="58" t="inlineStr">
        <x:v>49</x:v>
        <x:is>
          <x:t>Total J500</x:t>
        </x:is>
      </x:c>
      <x:c r="C23" s="59"/>
      <x:c r="D23" s="58" t="n">
        <x:v>159.25</x:v>
      </x:c>
      <x:c r="E23" s="60" t="n">
        <x:v>75.5</x:v>
      </x:c>
      <x:c r="F23" s="60" t="n">
        <x:f>MAX(D23-E23, 0)</x:f>
        <x:v>1</x:v>
      </x:c>
      <x:c r="G23" s="61" t="n">
        <x:f>IF(D23=0,0,ABS(E23/D23))</x:f>
        <x:v>0.5</x:v>
      </x:c>
      <x:c r="H23" s="58" t="n">
        <x:v>1086.4</x:v>
      </x:c>
      <x:c r="I23" s="60" t="n">
        <x:v>3142.25</x:v>
      </x:c>
      <x:c r="J23" s="62" t="n">
        <x:f>IF(H23=0,"No plan at start",I23/H23)</x:f>
        <x:v>2</x:v>
      </x:c>
      <x:c r="K23" s="60" t="n">
        <x:f>MAX(H23-I23, 0)</x:f>
        <x:v>0</x:v>
      </x:c>
      <x:c r="L23" s="60" t="n">
        <x:v>496.46</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N706</x:t>
        </x:is>
      </x:c>
      <x:c r="C24" s="46" t="inlineStr">
        <x:is>
          <x:t>Musial, Beata</x:t>
        </x:is>
      </x:c>
      <x:c r="D24" s="45" t="n">
        <x:v>0</x:v>
      </x:c>
      <x:c r="E24" s="19" t="n">
        <x:v>1</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ht="13.5" outlineLevel="1" thickBot="1" x14ac:dyDescent="0.25">
      <x:c r="A25" s="5"/>
      <x:c r="B25" s="63" t="inlineStr">
        <x:v>49</x:v>
        <x:is>
          <x:t>Total N706</x:t>
        </x:is>
      </x:c>
      <x:c r="C25" s="64"/>
      <x:c r="D25" s="63" t="n">
        <x:v>0</x:v>
      </x:c>
      <x:c r="E25" s="65" t="n">
        <x:v>1</x:v>
      </x:c>
      <x:c r="F25" s="65" t="n">
        <x:f>MAX(D25-E25, 0)</x:f>
        <x:v>0</x:v>
      </x:c>
      <x:c r="G25" s="66" t="n">
        <x:f>IF(D25=0,0,ABS(E25/D25))</x:f>
        <x:v>0</x:v>
      </x:c>
      <x:c r="H25" s="63" t="n">
        <x:v>0</x:v>
      </x:c>
      <x:c r="I25" s="65" t="n">
        <x:v>48.00</x:v>
      </x:c>
      <x:c r="J25" s="67" t="n">
        <x:f>IF(H25=0,"No plan at start",I25/H25)</x:f>
        <x:v>0.5</x:v>
      </x:c>
      <x:c r="K25" s="65" t="n">
        <x:f>MAX(H25-I25, 0)</x:f>
        <x:v>1</x:v>
      </x:c>
      <x:c r="L25" s="65" t="n">
        <x:v>0</x:v>
      </x:c>
      <x:c r="M25" s="65" t="n">
        <x:f>I25+L25</x:f>
        <x:v>6</x:v>
      </x:c>
      <x:c r="N25" s="65" t="n">
        <x:f>M25-H25</x:f>
        <x:v>4</x:v>
      </x:c>
      <x:c r="O25" s="66" t="n">
        <x:f>IF(H25=0,"No plan at start",M25/H25)</x:f>
        <x:v>3</x:v>
      </x:c>
      <x:c r="P25" s="29"/>
      <x:c r="Q25" s="30"/>
      <x:c r="R25" s="31"/>
      <x:c r="S25" s="31"/>
    </x:row>
    <x:row r="26" x14ac:dyDescent="0.2"/>
    <x:row r="27" x14ac:dyDescent="0.2"/>
    <x:row r="28" spans="1:19" x14ac:dyDescent="0.2">
      <x:c r="B28" s="14" t="s">
        <x:v>30</x:v>
      </x:c>
      <x:c r="C28" s="15"/>
      <x:c r="D28" s="15"/>
      <x:c r="E28" s="15"/>
      <x:c r="F28" s="16"/>
      <x:c r="G28" s="16"/>
      <x:c r="H28" s="17"/>
      <x:c r="I28" s="7"/>
      <x:c r="J28" s="7"/>
      <x:c r="K28" s="18"/>
      <x:c r="L28" s="7"/>
      <x:c r="M28" s="25"/>
      <x:c r="N28" s="7"/>
      <x:c r="O28" s="7"/>
    </x:row>
    <x:row r="29" spans="1:19" ht="13.5" thickBot="1" x14ac:dyDescent="0.25">
      <x:c r="B29" s="7"/>
      <x:c r="C29" s="7"/>
      <x:c r="D29" s="7"/>
      <x:c r="E29" s="7"/>
      <x:c r="F29" s="7"/>
      <x:c r="G29" s="7"/>
      <x:c r="H29" s="7"/>
      <x:c r="I29" s="7"/>
      <x:c r="J29" s="7"/>
      <x:c r="K29" s="7"/>
      <x:c r="L29" s="7"/>
      <x:c r="M29" s="7"/>
      <x:c r="N29" s="7"/>
      <x:c r="O29" s="7"/>
    </x:row>
    <x:row r="30" spans="1:19" x14ac:dyDescent="0.2">
      <x:c r="B30" s="48"/>
      <x:c r="C30" s="49"/>
      <x:c r="D30" s="77" t="s">
        <x:v>39</x:v>
      </x:c>
      <x:c r="E30" s="78"/>
      <x:c r="F30" s="78"/>
      <x:c r="G30" s="79"/>
      <x:c r="H30" s="77" t="s">
        <x:v>40</x:v>
      </x:c>
      <x:c r="I30" s="78"/>
      <x:c r="J30" s="78"/>
      <x:c r="K30" s="78"/>
      <x:c r="L30" s="78"/>
      <x:c r="M30" s="78"/>
      <x:c r="N30" s="78"/>
      <x:c r="O30" s="79"/>
    </x:row>
    <x:row r="31" spans="1:19" x14ac:dyDescent="0.2">
      <x:c r="B31" s="68"/>
      <x:c r="C31" s="69"/>
      <x:c r="D31" s="36" t="s">
        <x:v>2</x:v>
      </x:c>
      <x:c r="E31" s="38" t="s">
        <x:v>3</x:v>
      </x:c>
      <x:c r="F31" s="38" t="s">
        <x:v>44</x:v>
      </x:c>
      <x:c r="G31" s="37" t="s">
        <x:v>41</x:v>
      </x:c>
      <x:c r="H31" s="36" t="s">
        <x:v>20</x:v>
      </x:c>
      <x:c r="I31" s="38" t="s">
        <x:v>34</x:v>
      </x:c>
      <x:c r="J31" s="39" t="s">
        <x:v>35</x:v>
      </x:c>
      <x:c r="K31" s="39" t="s">
        <x:v>36</x:v>
      </x:c>
      <x:c r="L31" s="38" t="s">
        <x:v>19</x:v>
      </x:c>
      <x:c r="M31" s="38" t="s">
        <x:v>37</x:v>
      </x:c>
      <x:c r="N31" s="38" t="s">
        <x:v>22</x:v>
      </x:c>
      <x:c r="O31" s="37" t="s">
        <x:v>23</x:v>
      </x:c>
    </x:row>
    <x:row r="32" spans="1:19" ht="76.5" x14ac:dyDescent="0.2">
      <x:c r="B32" s="40" t="s">
        <x:v>14</x:v>
      </x:c>
      <x:c r="C32" s="41" t="s">
        <x:v>28</x:v>
      </x:c>
      <x:c r="D32" s="40" t="s">
        <x:v>45</x:v>
      </x:c>
      <x:c r="E32" s="42" t="s">
        <x:v>15</x:v>
      </x:c>
      <x:c r="F32" s="42" t="s">
        <x:v>42</x:v>
      </x:c>
      <x:c r="G32" s="41" t="s">
        <x:v>43</x:v>
      </x:c>
      <x:c r="H32" s="40" t="s">
        <x:v>46</x:v>
      </x:c>
      <x:c r="I32" s="42" t="s">
        <x:v>31</x:v>
      </x:c>
      <x:c r="J32" s="43" t="s">
        <x:v>47</x:v>
      </x:c>
      <x:c r="K32" s="43" t="s">
        <x:v>17</x:v>
      </x:c>
      <x:c r="L32" s="42" t="s">
        <x:v>48</x:v>
      </x:c>
      <x:c r="M32" s="42" t="s">
        <x:v>32</x:v>
      </x:c>
      <x:c r="N32" s="42" t="s">
        <x:v>33</x:v>
      </x:c>
      <x:c r="O32" s="41" t="s">
        <x:v>24</x:v>
      </x:c>
    </x:row>
    <x:row r="33" spans="1:19" hidden="1" outlineLevel="2" collapsed="1" x14ac:dyDescent="0.2">
      <x:c r="B33" s="45" t="inlineStr">
        <x:is>
          <x:t>D198</x:t>
        </x:is>
      </x:c>
      <x:c r="C33" s="46" t="inlineStr">
        <x:is>
          <x:t>Musial, Beata</x:t>
        </x:is>
      </x:c>
      <x:c r="D33" s="45" t="n">
        <x:v>0</x:v>
      </x:c>
      <x:c r="E33" s="19" t="n">
        <x:v>16.64</x:v>
      </x:c>
      <x:c r="F33" s="19" t="n">
        <x:f>MAX(D33-E33, 0)</x:f>
        <x:v>1</x:v>
      </x:c>
      <x:c r="G33" s="47" t="n">
        <x:f>IF(D33=0,0,ABS(E33/D33))</x:f>
        <x:v>0.5</x:v>
      </x:c>
      <x:c r="H33" s="52"/>
      <x:c r="I33" s="50"/>
      <x:c r="J33" s="50"/>
      <x:c r="K33" s="51"/>
      <x:c r="L33" s="19" t="n">
        <x:v>0</x:v>
      </x:c>
      <x:c r="M33" s="50"/>
      <x:c r="N33" s="50"/>
      <x:c r="O33" s="70"/>
    </x:row>
    <x:row r="34" spans="1:19" outlineLevel="1" x14ac:dyDescent="0.2">
      <x:c r="B34" s="58" t="inlineStr">
        <x:v>49</x:v>
        <x:is>
          <x:t>Total D198</x:t>
        </x:is>
      </x:c>
      <x:c r="C34" s="59"/>
      <x:c r="D34" s="58" t="n">
        <x:v>0</x:v>
      </x:c>
      <x:c r="E34" s="60" t="n">
        <x:v>16.64</x:v>
      </x:c>
      <x:c r="F34" s="60" t="n">
        <x:f>MAX(D34-E34, 0)</x:f>
        <x:v>1</x:v>
      </x:c>
      <x:c r="G34" s="61" t="n">
        <x:f>IF(D34=0,0,ABS(E34/D34))</x:f>
        <x:v>0.5</x:v>
      </x:c>
      <x:c r="H34" s="58" t="n">
        <x:v>0</x:v>
      </x:c>
      <x:c r="I34" s="60" t="n">
        <x:v>110014.0650</x:v>
      </x:c>
      <x:c r="J34" s="62" t="n">
        <x:f>IF(H34=0,"No plan at start",I34/H34)</x:f>
        <x:v>2</x:v>
      </x:c>
      <x:c r="K34" s="60" t="n">
        <x:f>MAX(H34-I34, 0)</x:f>
        <x:v>0</x:v>
      </x:c>
      <x:c r="L34" s="60" t="n">
        <x:v>0</x:v>
      </x:c>
      <x:c r="M34" s="60" t="n">
        <x:f>I34+L34</x:f>
        <x:v>3</x:v>
      </x:c>
      <x:c r="N34" s="60" t="n">
        <x:f>M34-H34</x:f>
        <x:v>2</x:v>
      </x:c>
      <x:c r="O34" s="61" t="n">
        <x:f>IF(H34=0,"No plan at start",M34/H34)</x:f>
        <x:v>3</x:v>
      </x:c>
    </x:row>
    <x:row r="35" spans="1:19" hidden="1" outlineLevel="2" collapsed="1" x14ac:dyDescent="0.2">
      <x:c r="B35" s="45" t="inlineStr">
        <x:is>
          <x:t>H919</x:t>
        </x:is>
      </x:c>
      <x:c r="C35" s="46" t="inlineStr">
        <x:is>
          <x:t>Musial, Beata</x:t>
        </x:is>
      </x:c>
      <x:c r="D35" s="45" t="n">
        <x:v>0</x:v>
      </x:c>
      <x:c r="E35" s="19" t="n">
        <x:v>133.12</x:v>
      </x:c>
      <x:c r="F35" s="19" t="n">
        <x:f>MAX(D35-E35, 0)</x:f>
        <x:v>1</x:v>
      </x:c>
      <x:c r="G35" s="47" t="n">
        <x:f>IF(D35=0,0,ABS(E35/D35))</x:f>
        <x:v>0.5</x:v>
      </x:c>
      <x:c r="H35" s="52"/>
      <x:c r="I35" s="50"/>
      <x:c r="J35" s="50"/>
      <x:c r="K35" s="51"/>
      <x:c r="L35" s="19" t="n">
        <x:v>399.36</x:v>
      </x:c>
      <x:c r="M35" s="50"/>
      <x:c r="N35" s="50"/>
      <x:c r="O35" s="70"/>
    </x:row>
    <x:row r="36" spans="1:19" outlineLevel="1" x14ac:dyDescent="0.2">
      <x:c r="B36" s="58" t="inlineStr">
        <x:v>49</x:v>
        <x:is>
          <x:t>Total H919</x:t>
        </x:is>
      </x:c>
      <x:c r="C36" s="59"/>
      <x:c r="D36" s="58" t="n">
        <x:v>0</x:v>
      </x:c>
      <x:c r="E36" s="60" t="n">
        <x:v>133.12</x:v>
      </x:c>
      <x:c r="F36" s="60" t="n">
        <x:f>MAX(D36-E36, 0)</x:f>
        <x:v>1</x:v>
      </x:c>
      <x:c r="G36" s="61" t="n">
        <x:f>IF(D36=0,0,ABS(E36/D36))</x:f>
        <x:v>0.5</x:v>
      </x:c>
      <x:c r="H36" s="58" t="n">
        <x:v>4368</x:v>
      </x:c>
      <x:c r="I36" s="60" t="n">
        <x:v>75847.3755</x:v>
      </x:c>
      <x:c r="J36" s="62" t="n">
        <x:f>IF(H36=0,"No plan at start",I36/H36)</x:f>
        <x:v>2</x:v>
      </x:c>
      <x:c r="K36" s="60" t="n">
        <x:f>MAX(H36-I36, 0)</x:f>
        <x:v>0</x:v>
      </x:c>
      <x:c r="L36" s="60" t="n">
        <x:v>399.36</x:v>
      </x:c>
      <x:c r="M36" s="60" t="n">
        <x:f>I36+L36</x:f>
        <x:v>3</x:v>
      </x:c>
      <x:c r="N36" s="60" t="n">
        <x:f>M36-H36</x:f>
        <x:v>2</x:v>
      </x:c>
      <x:c r="O36" s="61" t="n">
        <x:f>IF(H36=0,"No plan at start",M36/H36)</x:f>
        <x:v>3</x:v>
      </x:c>
    </x:row>
    <x:row r="37" spans="1:19" hidden="1" outlineLevel="2" collapsed="1" x14ac:dyDescent="0.2">
      <x:c r="B37" s="45" t="inlineStr">
        <x:is>
          <x:t>J500</x:t>
        </x:is>
      </x:c>
      <x:c r="C37" s="46" t="inlineStr">
        <x:is>
          <x:t>Musial, Beata</x:t>
        </x:is>
      </x:c>
      <x:c r="D37" s="45" t="n">
        <x:v>1811.264</x:v>
      </x:c>
      <x:c r="E37" s="19" t="n">
        <x:v>998.40</x:v>
      </x:c>
      <x:c r="F37" s="19" t="n">
        <x:f>MAX(D37-E37, 0)</x:f>
        <x:v>1</x:v>
      </x:c>
      <x:c r="G37" s="47" t="n">
        <x:f>IF(D37=0,0,ABS(E37/D37))</x:f>
        <x:v>0.5</x:v>
      </x:c>
      <x:c r="H37" s="52"/>
      <x:c r="I37" s="50"/>
      <x:c r="J37" s="50"/>
      <x:c r="K37" s="51"/>
      <x:c r="L37" s="19" t="n">
        <x:v>6257.6384</x:v>
      </x:c>
      <x:c r="M37" s="50"/>
      <x:c r="N37" s="50"/>
      <x:c r="O37" s="70"/>
    </x:row>
    <x:row r="38" spans="1:19" hidden="1" outlineLevel="2" collapsed="1" x14ac:dyDescent="0.2">
      <x:c r="B38" s="45" t="inlineStr">
        <x:is>
          <x:t>J500</x:t>
        </x:is>
      </x:c>
      <x:c r="C38" s="46" t="inlineStr">
        <x:is>
          <x:t>Radziszewski, Rafal</x:t>
        </x:is>
      </x:c>
      <x:c r="D38" s="45" t="n">
        <x:v>1310.4</x:v>
      </x:c>
      <x:c r="E38" s="19" t="n">
        <x:v>403</x:v>
      </x:c>
      <x:c r="F38" s="19" t="n">
        <x:f>MAX(D38-E38, 0)</x:f>
        <x:v>1</x:v>
      </x:c>
      <x:c r="G38" s="47" t="n">
        <x:f>IF(D38=0,0,ABS(E38/D38))</x:f>
        <x:v>0.5</x:v>
      </x:c>
      <x:c r="H38" s="53"/>
      <x:c r="I38" s="54"/>
      <x:c r="J38" s="54"/>
      <x:c r="K38" s="55"/>
      <x:c r="L38" s="19" t="n">
        <x:v>3130.4</x:v>
      </x:c>
      <x:c r="M38" s="54"/>
      <x:c r="N38" s="54"/>
      <x:c r="O38" s="71"/>
    </x:row>
    <x:row r="39" spans="1:19" outlineLevel="1" x14ac:dyDescent="0.2">
      <x:c r="B39" s="58" t="inlineStr">
        <x:v>49</x:v>
        <x:is>
          <x:t>Total J500</x:t>
        </x:is>
      </x:c>
      <x:c r="C39" s="59"/>
      <x:c r="D39" s="58" t="n">
        <x:v>3121.664</x:v>
      </x:c>
      <x:c r="E39" s="60" t="n">
        <x:v>1401.40</x:v>
      </x:c>
      <x:c r="F39" s="60" t="n">
        <x:f>MAX(D39-E39, 0)</x:f>
        <x:v>1</x:v>
      </x:c>
      <x:c r="G39" s="61" t="n">
        <x:f>IF(D39=0,0,ABS(E39/D39))</x:f>
        <x:v>0.5</x:v>
      </x:c>
      <x:c r="H39" s="58" t="n">
        <x:v>20608.64</x:v>
      </x:c>
      <x:c r="I39" s="60" t="n">
        <x:v>57837.1975</x:v>
      </x:c>
      <x:c r="J39" s="62" t="n">
        <x:f>IF(H39=0,"No plan at start",I39/H39)</x:f>
        <x:v>2</x:v>
      </x:c>
      <x:c r="K39" s="60" t="n">
        <x:f>MAX(H39-I39, 0)</x:f>
        <x:v>0</x:v>
      </x:c>
      <x:c r="L39" s="60" t="n">
        <x:v>9388.0384</x:v>
      </x:c>
      <x:c r="M39" s="60" t="n">
        <x:f>I39+L39</x:f>
        <x:v>3</x:v>
      </x:c>
      <x:c r="N39" s="60" t="n">
        <x:f>M39-H39</x:f>
        <x:v>2</x:v>
      </x:c>
      <x:c r="O39" s="61" t="n">
        <x:f>IF(H39=0,"No plan at start",M39/H39)</x:f>
        <x:v>3</x:v>
      </x:c>
    </x:row>
    <x:row r="40" spans="1:19" hidden="1" outlineLevel="2" collapsed="1" x14ac:dyDescent="0.2">
      <x:c r="B40" s="45" t="inlineStr">
        <x:is>
          <x:t>N706</x:t>
        </x:is>
      </x:c>
      <x:c r="C40" s="46" t="inlineStr">
        <x:is>
          <x:t>Musial, Beata</x:t>
        </x:is>
      </x:c>
      <x:c r="D40" s="45" t="n">
        <x:v>0</x:v>
      </x:c>
      <x:c r="E40" s="19" t="n">
        <x:v>16.64</x:v>
      </x:c>
      <x:c r="F40" s="19" t="n">
        <x:f>MAX(D40-E40, 0)</x:f>
        <x:v>1</x:v>
      </x:c>
      <x:c r="G40" s="47" t="n">
        <x:f>IF(D40=0,0,ABS(E40/D40))</x:f>
        <x:v>0.5</x:v>
      </x:c>
      <x:c r="H40" s="52"/>
      <x:c r="I40" s="50"/>
      <x:c r="J40" s="50"/>
      <x:c r="K40" s="51"/>
      <x:c r="L40" s="19" t="n">
        <x:v>0</x:v>
      </x:c>
      <x:c r="M40" s="50"/>
      <x:c r="N40" s="50"/>
      <x:c r="O40" s="70"/>
    </x:row>
    <x:row r="41" spans="1:19" ht="13.5" outlineLevel="1" thickBot="1" x14ac:dyDescent="0.25">
      <x:c r="B41" s="63" t="inlineStr">
        <x:v>49</x:v>
        <x:is>
          <x:t>Total N706</x:t>
        </x:is>
      </x:c>
      <x:c r="C41" s="64"/>
      <x:c r="D41" s="63" t="n">
        <x:v>0</x:v>
      </x:c>
      <x:c r="E41" s="65" t="n">
        <x:v>16.64</x:v>
      </x:c>
      <x:c r="F41" s="65" t="n">
        <x:f>MAX(D41-E41, 0)</x:f>
        <x:v>0</x:v>
      </x:c>
      <x:c r="G41" s="66" t="n">
        <x:f>IF(D41=0,0,ABS(E41/D41))</x:f>
        <x:v>4</x:v>
      </x:c>
      <x:c r="H41" s="63" t="n">
        <x:v>0</x:v>
      </x:c>
      <x:c r="I41" s="65" t="n">
        <x:v>1224.60</x:v>
      </x:c>
      <x:c r="J41" s="67" t="n">
        <x:f>IF(H41=0,"No plan at start",I41/H41)</x:f>
        <x:v>0.5</x:v>
      </x:c>
      <x:c r="K41" s="65" t="n">
        <x:f>MAX(H41-I41, 0)</x:f>
        <x:v>1</x:v>
      </x:c>
      <x:c r="L41" s="65" t="n">
        <x:v>0</x:v>
      </x:c>
      <x:c r="M41" s="65" t="n">
        <x:f>I41+L41</x:f>
        <x:v>6</x:v>
      </x:c>
      <x:c r="N41" s="65" t="n">
        <x:f>M41-H41</x:f>
        <x:v>4</x:v>
      </x:c>
      <x:c r="O41" s="66" t="n">
        <x:f>IF(H41=0,"No plan at start",M41/H41)</x:f>
        <x:v>3</x:v>
      </x:c>
    </x:row>
    <x:row r="42" x14ac:dyDescent="0.2"/>
  </x:sheetData>
  <x:mergeCells count="9">
    <x:mergeCell ref="B2:C2"/>
    <x:mergeCell ref="F2:G2"/>
    <x:mergeCell ref="F4:G4"/>
    <x:mergeCell ref="F5:O7"/>
    <x:mergeCell ref="F8:M9"/>
    <x:mergeCell ref="D14:G14"/>
    <x:mergeCell ref="H14:O14"/>
    <x:mergeCell ref="D30:G30"/>
    <x:mergeCell ref="H30:O30"/>
  </x:mergeCells>
  <x:conditionalFormatting sqref="F17:F25 F33:F41">
    <x:cfRule type="cellIs" dxfId="11" priority="5" operator="greaterThan">
      <x:formula>0</x:formula>
    </x:cfRule>
    <x:cfRule type="cellIs" dxfId="10" priority="6" operator="lessThanOrEqual">
      <x:formula>0</x:formula>
    </x:cfRule>
  </x:conditionalFormatting>
  <x:conditionalFormatting sqref="N18 N20 N23 N25 N34 N36 N39 N41">
    <x:cfRule type="cellIs" dxfId="9" priority="4" operator="greaterThan">
      <x:formula>0</x:formula>
    </x:cfRule>
    <x:cfRule type="cellIs" dxfId="8" priority="3" operator="lessThanOrEqual">
      <x:formula>0</x:formula>
    </x:cfRule>
  </x:conditionalFormatting>
  <x:conditionalFormatting sqref="K18 K20 K23 K25 K34 K36 K39 K41">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