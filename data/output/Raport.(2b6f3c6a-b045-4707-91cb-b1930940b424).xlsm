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x15ac="http://schemas.microsoft.com/office/spreadsheetml/2010/11/ac" xmlns:r="http://schemas.openxmlformats.org/officeDocument/2006/relationships" xmlns:mc="http://schemas.openxmlformats.org/markup-compatibility/2006" xmlns:x15="http://schemas.microsoft.com/office/spreadsheetml/2010/11/main" xmlns:x="http://schemas.openxmlformats.org/spreadsheetml/2006/main" mc:Ignorable="x15">
  <x:fileVersion appName="xl" lastEdited="6" lowestEdited="5" rupBuild="14420" codeName="{8C4F1C90-05EB-6A55-5F09-09C24B55AC0B}"/>
  <x:workbookPr codeName="workbookTemplate" defaultThemeVersion="124226"/>
  <mc:AlternateContent xmlns:mc="http://schemas.openxmlformats.org/markup-compatibility/2006">
    <mc:Choice Requires="x15">
      <x15ac:absPath xmlns:x15ac="http://schemas.microsoft.com/office/spreadsheetml/2010/11/ac" url="D:\Roboczy\Repozytoria\GitHub\ILF.Reports.ForProjectManagers\data\input\"/>
    </mc:Choice>
  </mc:AlternateContent>
  <x:bookViews>
    <x:workbookView xWindow="3250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<sst xmlns="http://schemas.openxmlformats.org/spreadsheetml/2006/main" count="79" uniqueCount="50">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</sst>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quot;€&quot;_-;\-* #,##0.00\ &quot;€&quot;_-;_-* &quot;-&quot;??\ &quot;€&quot;_-;_-@_-"/>
    <numFmt numFmtId="165" formatCode="#,##0\ &quot;€&quot;"/>
    <numFmt numFmtId="166" formatCode="0.0%"/>
    <numFmt numFmtId="167"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16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5"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7" fontId="4" fillId="0" borderId="7" xfId="0" applyNumberFormat="1" applyFont="1" applyBorder="1" applyAlignment="1" applyProtection="1">
      <alignment horizontal="center" vertical="center"/>
      <protection locked="0"/>
    </xf>
    <xf numFmtId="167"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6"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6" fontId="23" fillId="5" borderId="18" xfId="0" applyNumberFormat="1" applyFont="1" applyFill="1" applyBorder="1" applyAlignment="1" applyProtection="1">
      <alignment horizontal="center" vertical="center"/>
      <protection locked="0"/>
    </xf>
    <xf numFmtId="166"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6" fontId="23" fillId="5" borderId="22" xfId="0" applyNumberFormat="1" applyFont="1" applyFill="1" applyBorder="1" applyAlignment="1" applyProtection="1">
      <alignment horizontal="center" vertical="center"/>
      <protection locked="0"/>
    </xf>
    <xf numFmtId="166"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1">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election activeCell="K20" sqref="K20"/>
    </x:sheetView>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42887</x:v>
      </x:c>
      <x:c r="I2" s="21" t="s">
        <x:v>11</x:v>
      </x:c>
      <x:c r="J2" s="33" t="n">
        <x:v>42901</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Civil &amp; Environmental Engineering</x:t>
        </x:is>
      </x:c>
      <x:c r="D4" s="27"/>
      <x:c r="E4" s="6"/>
      <x:c r="F4" s="84" t="s">
        <x:v>4</x:v>
      </x:c>
      <x:c r="G4" s="85"/>
      <x:c r="N4" s="6"/>
    </x:row>
    <x:row r="5" spans="1:16" s="7" customFormat="1" ht="33.75" customHeight="1" thickBot="1" x14ac:dyDescent="0.25">
      <x:c r="A5" s="5"/>
      <x:c r="B5" s="9" t="s">
        <x:v>0</x:v>
      </x:c>
      <x:c r="C5" s="10" t="inlineStr">
        <x:v>29</x:v>
        <x:is>
          <x:t>Water, HVAC, Pipeline Engineering</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HVAC</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Wlodzimierz Bloch</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Malgorzata Serafin</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E872</x:t>
        </x:is>
      </x:c>
      <x:c r="C17" s="46" t="inlineStr">
        <x:is>
          <x:t>Bloch, Wlodzimierz</x:t>
        </x:is>
      </x:c>
      <x:c r="D17" s="45" t="n">
        <x:v>50.4</x:v>
      </x:c>
      <x:c r="E17" s="19" t="n">
        <x:v>23.0</x:v>
      </x:c>
      <x:c r="F17" s="19" t="n">
        <x:f>MAX(D17-E17, 0)</x:f>
        <x:v>1</x:v>
      </x:c>
      <x:c r="G17" s="47" t="n">
        <x:f>IF(D17=0,0,ABS(E17/D17))</x:f>
        <x:v>0.5</x:v>
      </x:c>
      <x:c r="H17" s="52"/>
      <x:c r="I17" s="50"/>
      <x:c r="J17" s="50"/>
      <x:c r="K17" s="51"/>
      <x:c r="L17" s="19" t="n">
        <x:v>311.20</x:v>
      </x:c>
      <x:c r="M17" s="56"/>
      <x:c r="N17" s="50"/>
      <x:c r="O17" s="70"/>
      <x:c r="P17" s="29"/>
      <x:c r="Q17" s="30"/>
      <x:c r="R17" s="31"/>
      <x:c r="S17" s="31"/>
    </x:row>
    <x:row r="18" spans="1:19" s="7" customFormat="1" hidden="1" outlineLevel="2" collapsed="1" x14ac:dyDescent="0.2">
      <x:c r="A18" s="5"/>
      <x:c r="B18" s="45" t="inlineStr">
        <x:is>
          <x:t>E872</x:t>
        </x:is>
      </x:c>
      <x:c r="C18" s="46" t="inlineStr">
        <x:is>
          <x:t>Jozwik, Katarzyna</x:t>
        </x:is>
      </x:c>
      <x:c r="D18" s="45" t="n">
        <x:v>0</x:v>
      </x:c>
      <x:c r="E18" s="19" t="n">
        <x:v>28.5</x:v>
      </x:c>
      <x:c r="F18" s="19" t="n">
        <x:f>MAX(D18-E18, 0)</x:f>
        <x:v>1</x:v>
      </x:c>
      <x:c r="G18" s="47" t="n">
        <x:f>IF(D18=0,0,ABS(E18/D18))</x:f>
        <x:v>0.5</x:v>
      </x:c>
      <x:c r="H18" s="72"/>
      <x:c r="I18" s="73"/>
      <x:c r="J18" s="73"/>
      <x:c r="K18" s="74"/>
      <x:c r="L18" s="19" t="n">
        <x:v>0</x:v>
      </x:c>
      <x:c r="M18" s="75"/>
      <x:c r="N18" s="73"/>
      <x:c r="O18" s="76"/>
      <x:c r="P18" s="29"/>
      <x:c r="Q18" s="30"/>
      <x:c r="R18" s="31"/>
      <x:c r="S18" s="31"/>
    </x:row>
    <x:row r="19" spans="1:19" s="7" customFormat="1" hidden="1" outlineLevel="2" collapsed="1" x14ac:dyDescent="0.2">
      <x:c r="A19" s="5"/>
      <x:c r="B19" s="45" t="inlineStr">
        <x:is>
          <x:t>E872</x:t>
        </x:is>
      </x:c>
      <x:c r="C19" s="46" t="inlineStr">
        <x:is>
          <x:t>Maslowski, Michal</x:t>
        </x:is>
      </x:c>
      <x:c r="D19" s="45" t="n">
        <x:v>0</x:v>
      </x:c>
      <x:c r="E19" s="19" t="n">
        <x:v>72.0</x:v>
      </x:c>
      <x:c r="F19" s="19" t="n">
        <x:f>MAX(D19-E19, 0)</x:f>
        <x:v>1</x:v>
      </x:c>
      <x:c r="G19" s="47" t="n">
        <x:f>IF(D19=0,0,ABS(E19/D19))</x:f>
        <x:v>0.5</x:v>
      </x:c>
      <x:c r="H19" s="72"/>
      <x:c r="I19" s="73"/>
      <x:c r="J19" s="73"/>
      <x:c r="K19" s="74"/>
      <x:c r="L19" s="19" t="n">
        <x:v>0</x:v>
      </x:c>
      <x:c r="M19" s="75"/>
      <x:c r="N19" s="73"/>
      <x:c r="O19" s="76"/>
      <x:c r="P19" s="29"/>
      <x:c r="Q19" s="30"/>
      <x:c r="R19" s="31"/>
      <x:c r="S19" s="31"/>
    </x:row>
    <x:row r="20" spans="1:19" s="7" customFormat="1" hidden="1" outlineLevel="2" collapsed="1" x14ac:dyDescent="0.2">
      <x:c r="A20" s="5"/>
      <x:c r="B20" s="45" t="inlineStr">
        <x:is>
          <x:t>E872</x:t>
        </x:is>
      </x:c>
      <x:c r="C20" s="46" t="inlineStr">
        <x:is>
          <x:t>Nieckarz, Marcin</x:t>
        </x:is>
      </x:c>
      <x:c r="D20" s="45" t="n">
        <x:v>134.4</x:v>
      </x:c>
      <x:c r="E20" s="19" t="n">
        <x:v>74.5</x:v>
      </x:c>
      <x:c r="F20" s="19" t="n">
        <x:f>MAX(D20-E20, 0)</x:f>
        <x:v>1</x:v>
      </x:c>
      <x:c r="G20" s="47" t="n">
        <x:f>IF(D20=0,0,ABS(E20/D20))</x:f>
        <x:v>0.5</x:v>
      </x:c>
      <x:c r="H20" s="72"/>
      <x:c r="I20" s="73"/>
      <x:c r="J20" s="73"/>
      <x:c r="K20" s="74"/>
      <x:c r="L20" s="19" t="n">
        <x:v>376.8</x:v>
      </x:c>
      <x:c r="M20" s="57"/>
      <x:c r="N20" s="54"/>
      <x:c r="O20" s="71"/>
      <x:c r="P20" s="29"/>
      <x:c r="Q20" s="30"/>
      <x:c r="R20" s="31"/>
      <x:c r="S20" s="31"/>
    </x:row>
    <x:row r="21" spans="1:19" s="7" customFormat="1" outlineLevel="1" x14ac:dyDescent="0.2">
      <x:c r="A21" s="5"/>
      <x:c r="B21" s="58" t="inlineStr">
        <x:v>49</x:v>
        <x:is>
          <x:t>Total E872</x:t>
        </x:is>
      </x:c>
      <x:c r="C21" s="59"/>
      <x:c r="D21" s="58" t="n">
        <x:v>184.8</x:v>
      </x:c>
      <x:c r="E21" s="60" t="n">
        <x:v>198.0</x:v>
      </x:c>
      <x:c r="F21" s="60" t="n">
        <x:f>MAX(D21-E21, 0)</x:f>
        <x:v>1</x:v>
      </x:c>
      <x:c r="G21" s="61" t="n">
        <x:f>IF(D21=0,0,ABS(E21/D21))</x:f>
        <x:v>0.5</x:v>
      </x:c>
      <x:c r="H21" s="58" t="n">
        <x:v>0</x:v>
      </x:c>
      <x:c r="I21" s="60" t="n">
        <x:v>4968.25</x:v>
      </x:c>
      <x:c r="J21" s="62" t="n">
        <x:f>IF(H21=0,"No plan at start",I21/H21)</x:f>
        <x:v>2</x:v>
      </x:c>
      <x:c r="K21" s="60" t="n">
        <x:f>MAX(H21-I21, 0)</x:f>
        <x:v>0</x:v>
      </x:c>
      <x:c r="L21" s="60" t="n">
        <x:v>688.00</x:v>
      </x:c>
      <x:c r="M21" s="60" t="n">
        <x:f>I21+L21</x:f>
        <x:v>3</x:v>
      </x:c>
      <x:c r="N21" s="60" t="n">
        <x:f>M21-H21</x:f>
        <x:v>2</x:v>
      </x:c>
      <x:c r="O21" s="61" t="n">
        <x:f>IF(H21=0,"No plan at start",M21/H21)</x:f>
        <x:v>3</x:v>
      </x:c>
      <x:c r="P21" s="29"/>
      <x:c r="Q21" s="30"/>
      <x:c r="R21" s="31"/>
      <x:c r="S21" s="31"/>
    </x:row>
    <x:row r="22" spans="1:19" s="7" customFormat="1" hidden="1" outlineLevel="2" collapsed="1" x14ac:dyDescent="0.2">
      <x:c r="A22" s="5"/>
      <x:c r="B22" s="45" t="inlineStr">
        <x:is>
          <x:t>F808</x:t>
        </x:is>
      </x:c>
      <x:c r="C22" s="46" t="inlineStr">
        <x:is>
          <x:t>Bloch, Wlodzimierz</x:t>
        </x:is>
      </x:c>
      <x:c r="D22" s="45" t="n">
        <x:v>8.4</x:v>
      </x:c>
      <x:c r="E22" s="19" t="n">
        <x:v>0</x:v>
      </x:c>
      <x:c r="F22" s="19" t="n">
        <x:f>MAX(D22-E22, 0)</x:f>
        <x:v>1</x:v>
      </x:c>
      <x:c r="G22" s="47" t="n">
        <x:f>IF(D22=0,0,ABS(E22/D22))</x:f>
        <x:v>0.5</x:v>
      </x:c>
      <x:c r="H22" s="52"/>
      <x:c r="I22" s="50"/>
      <x:c r="J22" s="50"/>
      <x:c r="K22" s="51"/>
      <x:c r="L22" s="19" t="n">
        <x:v>42.8</x:v>
      </x:c>
      <x:c r="M22" s="56"/>
      <x:c r="N22" s="50"/>
      <x:c r="O22" s="70"/>
      <x:c r="P22" s="29"/>
      <x:c r="Q22" s="30"/>
      <x:c r="R22" s="31"/>
      <x:c r="S22" s="31"/>
    </x:row>
    <x:row r="23" spans="1:19" s="7" customFormat="1" outlineLevel="1" x14ac:dyDescent="0.2">
      <x:c r="A23" s="5"/>
      <x:c r="B23" s="58" t="inlineStr">
        <x:v>49</x:v>
        <x:is>
          <x:t>Total F808</x:t>
        </x:is>
      </x:c>
      <x:c r="C23" s="59"/>
      <x:c r="D23" s="58" t="n">
        <x:v>8.4</x:v>
      </x:c>
      <x:c r="E23" s="60" t="n">
        <x:v>0</x:v>
      </x:c>
      <x:c r="F23" s="60" t="n">
        <x:f>MAX(D23-E23, 0)</x:f>
        <x:v>1</x:v>
      </x:c>
      <x:c r="G23" s="61" t="n">
        <x:f>IF(D23=0,0,ABS(E23/D23))</x:f>
        <x:v>0.5</x:v>
      </x:c>
      <x:c r="H23" s="58" t="n">
        <x:v>0</x:v>
      </x:c>
      <x:c r="I23" s="60" t="n">
        <x:v>643.50</x:v>
      </x:c>
      <x:c r="J23" s="62" t="n">
        <x:f>IF(H23=0,"No plan at start",I23/H23)</x:f>
        <x:v>2</x:v>
      </x:c>
      <x:c r="K23" s="60" t="n">
        <x:f>MAX(H23-I23, 0)</x:f>
        <x:v>0</x:v>
      </x:c>
      <x:c r="L23" s="60" t="n">
        <x:v>42.8</x:v>
      </x:c>
      <x:c r="M23" s="60" t="n">
        <x:f>I23+L23</x:f>
        <x:v>3</x:v>
      </x:c>
      <x:c r="N23" s="60" t="n">
        <x:f>M23-H23</x:f>
        <x:v>2</x:v>
      </x:c>
      <x:c r="O23" s="61" t="n">
        <x:f>IF(H23=0,"No plan at start",M23/H23)</x:f>
        <x:v>3</x:v>
      </x:c>
      <x:c r="P23" s="29"/>
      <x:c r="Q23" s="30"/>
      <x:c r="R23" s="31"/>
      <x:c r="S23" s="31"/>
    </x:row>
    <x:row r="24" spans="1:19" s="7" customFormat="1" hidden="1" outlineLevel="2" collapsed="1" x14ac:dyDescent="0.2">
      <x:c r="A24" s="5"/>
      <x:c r="B24" s="45" t="inlineStr">
        <x:is>
          <x:t>F958</x:t>
        </x:is>
      </x:c>
      <x:c r="C24" s="46" t="inlineStr">
        <x:is>
          <x:t>Bloch, Wlodzimierz</x:t>
        </x:is>
      </x:c>
      <x:c r="D24" s="45" t="n">
        <x:v>0</x:v>
      </x:c>
      <x:c r="E24" s="19" t="n">
        <x:v>0</x:v>
      </x:c>
      <x:c r="F24" s="19" t="n">
        <x:f>MAX(D24-E24, 0)</x:f>
        <x:v>1</x:v>
      </x:c>
      <x:c r="G24" s="47" t="n">
        <x:f>IF(D24=0,0,ABS(E24/D24))</x:f>
        <x:v>0.5</x:v>
      </x:c>
      <x:c r="H24" s="52"/>
      <x:c r="I24" s="50"/>
      <x:c r="J24" s="50"/>
      <x:c r="K24" s="51"/>
      <x:c r="L24" s="19" t="n">
        <x:v>38.63</x:v>
      </x:c>
      <x:c r="M24" s="56"/>
      <x:c r="N24" s="50"/>
      <x:c r="O24" s="70"/>
      <x:c r="P24" s="29"/>
      <x:c r="Q24" s="30"/>
      <x:c r="R24" s="31"/>
      <x:c r="S24" s="31"/>
    </x:row>
    <x:row r="25" spans="1:19" s="7" customFormat="1" hidden="1" outlineLevel="2" collapsed="1" x14ac:dyDescent="0.2">
      <x:c r="A25" s="5"/>
      <x:c r="B25" s="45" t="inlineStr">
        <x:is>
          <x:t>F958</x:t>
        </x:is>
      </x:c>
      <x:c r="C25" s="46" t="inlineStr">
        <x:is>
          <x:t>Olszewska, Beata</x:t>
        </x:is>
      </x:c>
      <x:c r="D25" s="45" t="n">
        <x:v>0</x:v>
      </x:c>
      <x:c r="E25" s="19" t="n">
        <x:v>0</x:v>
      </x:c>
      <x:c r="F25" s="19" t="n">
        <x:f>MAX(D25-E25, 0)</x:f>
        <x:v>1</x:v>
      </x:c>
      <x:c r="G25" s="47" t="n">
        <x:f>IF(D25=0,0,ABS(E25/D25))</x:f>
        <x:v>0.5</x:v>
      </x:c>
      <x:c r="H25" s="72"/>
      <x:c r="I25" s="73"/>
      <x:c r="J25" s="73"/>
      <x:c r="K25" s="74"/>
      <x:c r="L25" s="19" t="n">
        <x:v>38.63</x:v>
      </x:c>
      <x:c r="M25" s="57"/>
      <x:c r="N25" s="54"/>
      <x:c r="O25" s="71"/>
      <x:c r="P25" s="29"/>
      <x:c r="Q25" s="30"/>
      <x:c r="R25" s="31"/>
      <x:c r="S25" s="31"/>
    </x:row>
    <x:row r="26" spans="1:19" s="7" customFormat="1" outlineLevel="1" x14ac:dyDescent="0.2">
      <x:c r="A26" s="5"/>
      <x:c r="B26" s="58" t="inlineStr">
        <x:v>49</x:v>
        <x:is>
          <x:t>Total F958</x:t>
        </x:is>
      </x:c>
      <x:c r="C26" s="59"/>
      <x:c r="D26" s="58" t="n">
        <x:v>0</x:v>
      </x:c>
      <x:c r="E26" s="60" t="n">
        <x:v>0</x:v>
      </x:c>
      <x:c r="F26" s="60" t="n">
        <x:f>MAX(D26-E26, 0)</x:f>
        <x:v>1</x:v>
      </x:c>
      <x:c r="G26" s="61" t="n">
        <x:f>IF(D26=0,0,ABS(E26/D26))</x:f>
        <x:v>0.5</x:v>
      </x:c>
      <x:c r="H26" s="58" t="n">
        <x:v>0</x:v>
      </x:c>
      <x:c r="I26" s="60" t="n">
        <x:v>114.75</x:v>
      </x:c>
      <x:c r="J26" s="62" t="n">
        <x:f>IF(H26=0,"No plan at start",I26/H26)</x:f>
        <x:v>2</x:v>
      </x:c>
      <x:c r="K26" s="60" t="n">
        <x:f>MAX(H26-I26, 0)</x:f>
        <x:v>0</x:v>
      </x:c>
      <x:c r="L26" s="60" t="n">
        <x:v>77.26</x:v>
      </x:c>
      <x:c r="M26" s="60" t="n">
        <x:f>I26+L26</x:f>
        <x:v>3</x:v>
      </x:c>
      <x:c r="N26" s="60" t="n">
        <x:f>M26-H26</x:f>
        <x:v>2</x:v>
      </x:c>
      <x:c r="O26" s="61" t="n">
        <x:f>IF(H26=0,"No plan at start",M26/H26)</x:f>
        <x:v>3</x:v>
      </x:c>
      <x:c r="P26" s="29"/>
      <x:c r="Q26" s="30"/>
      <x:c r="R26" s="31"/>
      <x:c r="S26" s="31"/>
    </x:row>
    <x:row r="27" spans="1:19" s="7" customFormat="1" hidden="1" outlineLevel="2" collapsed="1" x14ac:dyDescent="0.2">
      <x:c r="A27" s="5"/>
      <x:c r="B27" s="45" t="inlineStr">
        <x:is>
          <x:t>H808</x:t>
        </x:is>
      </x:c>
      <x:c r="C27" s="46" t="inlineStr">
        <x:is>
          <x:t>Bloch, Wlodzimierz</x:t>
        </x:is>
      </x:c>
      <x:c r="D27" s="45" t="n">
        <x:v>33.6</x:v>
      </x:c>
      <x:c r="E27" s="19" t="n">
        <x:v>3.5</x:v>
      </x:c>
      <x:c r="F27" s="19" t="n">
        <x:f>MAX(D27-E27, 0)</x:f>
        <x:v>1</x:v>
      </x:c>
      <x:c r="G27" s="47" t="n">
        <x:f>IF(D27=0,0,ABS(E27/D27))</x:f>
        <x:v>0.5</x:v>
      </x:c>
      <x:c r="H27" s="52"/>
      <x:c r="I27" s="50"/>
      <x:c r="J27" s="50"/>
      <x:c r="K27" s="51"/>
      <x:c r="L27" s="19" t="n">
        <x:v>16</x:v>
      </x:c>
      <x:c r="M27" s="56"/>
      <x:c r="N27" s="50"/>
      <x:c r="O27" s="70"/>
      <x:c r="P27" s="29"/>
      <x:c r="Q27" s="30"/>
      <x:c r="R27" s="31"/>
      <x:c r="S27" s="31"/>
    </x:row>
    <x:row r="28" spans="1:19" s="7" customFormat="1" hidden="1" outlineLevel="2" collapsed="1" x14ac:dyDescent="0.2">
      <x:c r="A28" s="5"/>
      <x:c r="B28" s="45" t="inlineStr">
        <x:is>
          <x:t>H808</x:t>
        </x:is>
      </x:c>
      <x:c r="C28" s="46" t="inlineStr">
        <x:is>
          <x:t>Jozwik, Katarzyna</x:t>
        </x:is>
      </x:c>
      <x:c r="D28" s="45" t="n">
        <x:v>84</x:v>
      </x:c>
      <x:c r="E28" s="19" t="n">
        <x:v>53.5</x:v>
      </x:c>
      <x:c r="F28" s="19" t="n">
        <x:f>MAX(D28-E28, 0)</x:f>
        <x:v>1</x:v>
      </x:c>
      <x:c r="G28" s="47" t="n">
        <x:f>IF(D28=0,0,ABS(E28/D28))</x:f>
        <x:v>0.5</x:v>
      </x:c>
      <x:c r="H28" s="72"/>
      <x:c r="I28" s="73"/>
      <x:c r="J28" s="73"/>
      <x:c r="K28" s="74"/>
      <x:c r="L28" s="19" t="n">
        <x:v>240.8</x:v>
      </x:c>
      <x:c r="M28" s="75"/>
      <x:c r="N28" s="73"/>
      <x:c r="O28" s="76"/>
      <x:c r="P28" s="29"/>
      <x:c r="Q28" s="30"/>
      <x:c r="R28" s="31"/>
      <x:c r="S28" s="31"/>
    </x:row>
    <x:row r="29" spans="1:19" s="7" customFormat="1" hidden="1" outlineLevel="2" collapsed="1" x14ac:dyDescent="0.2">
      <x:c r="A29" s="5"/>
      <x:c r="B29" s="45" t="inlineStr">
        <x:is>
          <x:t>H808</x:t>
        </x:is>
      </x:c>
      <x:c r="C29" s="46" t="inlineStr">
        <x:is>
          <x:t>Maslowski, Michal</x:t>
        </x:is>
      </x:c>
      <x:c r="D29" s="45" t="n">
        <x:v>20.17</x:v>
      </x:c>
      <x:c r="E29" s="19" t="n">
        <x:v>6.0</x:v>
      </x:c>
      <x:c r="F29" s="19" t="n">
        <x:f>MAX(D29-E29, 0)</x:f>
        <x:v>1</x:v>
      </x:c>
      <x:c r="G29" s="47" t="n">
        <x:f>IF(D29=0,0,ABS(E29/D29))</x:f>
        <x:v>0.5</x:v>
      </x:c>
      <x:c r="H29" s="72"/>
      <x:c r="I29" s="73"/>
      <x:c r="J29" s="73"/>
      <x:c r="K29" s="74"/>
      <x:c r="L29" s="19" t="n">
        <x:v>0</x:v>
      </x:c>
      <x:c r="M29" s="75"/>
      <x:c r="N29" s="73"/>
      <x:c r="O29" s="76"/>
      <x:c r="P29" s="29"/>
      <x:c r="Q29" s="30"/>
      <x:c r="R29" s="31"/>
      <x:c r="S29" s="31"/>
    </x:row>
    <x:row r="30" spans="1:19" s="7" customFormat="1" hidden="1" outlineLevel="2" collapsed="1" x14ac:dyDescent="0.2">
      <x:c r="A30" s="5"/>
      <x:c r="B30" s="45" t="inlineStr">
        <x:is>
          <x:t>H808</x:t>
        </x:is>
      </x:c>
      <x:c r="C30" s="46" t="inlineStr">
        <x:is>
          <x:t>Olszewska, Beata</x:t>
        </x:is>
      </x:c>
      <x:c r="D30" s="45" t="n">
        <x:v>168</x:v>
      </x:c>
      <x:c r="E30" s="19" t="n">
        <x:v>51.25</x:v>
      </x:c>
      <x:c r="F30" s="19" t="n">
        <x:f>MAX(D30-E30, 0)</x:f>
        <x:v>1</x:v>
      </x:c>
      <x:c r="G30" s="47" t="n">
        <x:f>IF(D30=0,0,ABS(E30/D30))</x:f>
        <x:v>0.5</x:v>
      </x:c>
      <x:c r="H30" s="72"/>
      <x:c r="I30" s="73"/>
      <x:c r="J30" s="73"/>
      <x:c r="K30" s="74"/>
      <x:c r="L30" s="19" t="n">
        <x:v>511.2</x:v>
      </x:c>
      <x:c r="M30" s="75"/>
      <x:c r="N30" s="73"/>
      <x:c r="O30" s="76"/>
      <x:c r="P30" s="29"/>
      <x:c r="Q30" s="30"/>
      <x:c r="R30" s="31"/>
      <x:c r="S30" s="31"/>
    </x:row>
    <x:row r="31" spans="1:19" s="7" customFormat="1" hidden="1" outlineLevel="2" collapsed="1" x14ac:dyDescent="0.2">
      <x:c r="A31" s="5"/>
      <x:c r="B31" s="45" t="inlineStr">
        <x:is>
          <x:t>H808</x:t>
        </x:is>
      </x:c>
      <x:c r="C31" s="46" t="inlineStr">
        <x:is>
          <x:t>Opas, Wojciech</x:t>
        </x:is>
      </x:c>
      <x:c r="D31" s="45" t="n">
        <x:v>168</x:v>
      </x:c>
      <x:c r="E31" s="19" t="n">
        <x:v>79.75</x:v>
      </x:c>
      <x:c r="F31" s="19" t="n">
        <x:f>MAX(D31-E31, 0)</x:f>
        <x:v>1</x:v>
      </x:c>
      <x:c r="G31" s="47" t="n">
        <x:f>IF(D31=0,0,ABS(E31/D31))</x:f>
        <x:v>0.5</x:v>
      </x:c>
      <x:c r="H31" s="72"/>
      <x:c r="I31" s="73"/>
      <x:c r="J31" s="73"/>
      <x:c r="K31" s="74"/>
      <x:c r="L31" s="19" t="n">
        <x:v>85.6</x:v>
      </x:c>
      <x:c r="M31" s="57"/>
      <x:c r="N31" s="54"/>
      <x:c r="O31" s="71"/>
      <x:c r="P31" s="29"/>
      <x:c r="Q31" s="30"/>
      <x:c r="R31" s="31"/>
      <x:c r="S31" s="31"/>
    </x:row>
    <x:row r="32" spans="1:19" s="7" customFormat="1" outlineLevel="1" x14ac:dyDescent="0.2">
      <x:c r="A32" s="5"/>
      <x:c r="B32" s="58" t="inlineStr">
        <x:v>49</x:v>
        <x:is>
          <x:t>Total H808</x:t>
        </x:is>
      </x:c>
      <x:c r="C32" s="59"/>
      <x:c r="D32" s="58" t="n">
        <x:v>473.77</x:v>
      </x:c>
      <x:c r="E32" s="60" t="n">
        <x:v>194.00</x:v>
      </x:c>
      <x:c r="F32" s="60" t="n">
        <x:f>MAX(D32-E32, 0)</x:f>
        <x:v>1</x:v>
      </x:c>
      <x:c r="G32" s="61" t="n">
        <x:f>IF(D32=0,0,ABS(E32/D32))</x:f>
        <x:v>0.5</x:v>
      </x:c>
      <x:c r="H32" s="58" t="n">
        <x:v>9999.6</x:v>
      </x:c>
      <x:c r="I32" s="60" t="n">
        <x:v>11754.00</x:v>
      </x:c>
      <x:c r="J32" s="62" t="n">
        <x:f>IF(H32=0,"No plan at start",I32/H32)</x:f>
        <x:v>2</x:v>
      </x:c>
      <x:c r="K32" s="60" t="n">
        <x:f>MAX(H32-I32, 0)</x:f>
        <x:v>0</x:v>
      </x:c>
      <x:c r="L32" s="60" t="n">
        <x:v>853.6</x:v>
      </x:c>
      <x:c r="M32" s="60" t="n">
        <x:f>I32+L32</x:f>
        <x:v>3</x:v>
      </x:c>
      <x:c r="N32" s="60" t="n">
        <x:f>M32-H32</x:f>
        <x:v>2</x:v>
      </x:c>
      <x:c r="O32" s="61" t="n">
        <x:f>IF(H32=0,"No plan at start",M32/H32)</x:f>
        <x:v>3</x:v>
      </x:c>
      <x:c r="P32" s="29"/>
      <x:c r="Q32" s="30"/>
      <x:c r="R32" s="31"/>
      <x:c r="S32" s="31"/>
    </x:row>
    <x:row r="33" spans="1:19" s="7" customFormat="1" hidden="1" outlineLevel="2" collapsed="1" x14ac:dyDescent="0.2">
      <x:c r="A33" s="5"/>
      <x:c r="B33" s="45" t="inlineStr">
        <x:is>
          <x:t>J500</x:t>
        </x:is>
      </x:c>
      <x:c r="C33" s="46" t="inlineStr">
        <x:is>
          <x:t>Bloch, Wlodzimierz</x:t>
        </x:is>
      </x:c>
      <x:c r="D33" s="45" t="n">
        <x:v>33.6</x:v>
      </x:c>
      <x:c r="E33" s="19" t="n">
        <x:v>23.0</x:v>
      </x:c>
      <x:c r="F33" s="19" t="n">
        <x:f>MAX(D33-E33, 0)</x:f>
        <x:v>1</x:v>
      </x:c>
      <x:c r="G33" s="47" t="n">
        <x:f>IF(D33=0,0,ABS(E33/D33))</x:f>
        <x:v>0.5</x:v>
      </x:c>
      <x:c r="H33" s="52"/>
      <x:c r="I33" s="50"/>
      <x:c r="J33" s="50"/>
      <x:c r="K33" s="51"/>
      <x:c r="L33" s="19" t="n">
        <x:v>162.4</x:v>
      </x:c>
      <x:c r="M33" s="56"/>
      <x:c r="N33" s="50"/>
      <x:c r="O33" s="70"/>
      <x:c r="P33" s="29"/>
      <x:c r="Q33" s="30"/>
      <x:c r="R33" s="31"/>
      <x:c r="S33" s="31"/>
    </x:row>
    <x:row r="34" spans="1:19" s="7" customFormat="1" hidden="1" outlineLevel="2" collapsed="1" x14ac:dyDescent="0.2">
      <x:c r="A34" s="5"/>
      <x:c r="B34" s="45" t="inlineStr">
        <x:is>
          <x:t>J500</x:t>
        </x:is>
      </x:c>
      <x:c r="C34" s="46" t="inlineStr">
        <x:is>
          <x:t>Neska, Maciej</x:t>
        </x:is>
      </x:c>
      <x:c r="D34" s="45" t="n">
        <x:v>151.2</x:v>
      </x:c>
      <x:c r="E34" s="19" t="n">
        <x:v>84.00</x:v>
      </x:c>
      <x:c r="F34" s="19" t="n">
        <x:f>MAX(D34-E34, 0)</x:f>
        <x:v>1</x:v>
      </x:c>
      <x:c r="G34" s="47" t="n">
        <x:f>IF(D34=0,0,ABS(E34/D34))</x:f>
        <x:v>0.5</x:v>
      </x:c>
      <x:c r="H34" s="72"/>
      <x:c r="I34" s="73"/>
      <x:c r="J34" s="73"/>
      <x:c r="K34" s="74"/>
      <x:c r="L34" s="19" t="n">
        <x:v>727.53</x:v>
      </x:c>
      <x:c r="M34" s="75"/>
      <x:c r="N34" s="73"/>
      <x:c r="O34" s="76"/>
      <x:c r="P34" s="29"/>
      <x:c r="Q34" s="30"/>
      <x:c r="R34" s="31"/>
      <x:c r="S34" s="31"/>
    </x:row>
    <x:row r="35" spans="1:19" s="7" customFormat="1" hidden="1" outlineLevel="2" collapsed="1" x14ac:dyDescent="0.2">
      <x:c r="A35" s="5"/>
      <x:c r="B35" s="45" t="inlineStr">
        <x:is>
          <x:t>J500</x:t>
        </x:is>
      </x:c>
      <x:c r="C35" s="46" t="inlineStr">
        <x:is>
          <x:t>Olszewska, Beata</x:t>
        </x:is>
      </x:c>
      <x:c r="D35" s="45" t="n">
        <x:v>84</x:v>
      </x:c>
      <x:c r="E35" s="19" t="n">
        <x:v>8</x:v>
      </x:c>
      <x:c r="F35" s="19" t="n">
        <x:f>MAX(D35-E35, 0)</x:f>
        <x:v>1</x:v>
      </x:c>
      <x:c r="G35" s="47" t="n">
        <x:f>IF(D35=0,0,ABS(E35/D35))</x:f>
        <x:v>0.5</x:v>
      </x:c>
      <x:c r="H35" s="72"/>
      <x:c r="I35" s="73"/>
      <x:c r="J35" s="73"/>
      <x:c r="K35" s="74"/>
      <x:c r="L35" s="19" t="n">
        <x:v>495.28</x:v>
      </x:c>
      <x:c r="M35" s="75"/>
      <x:c r="N35" s="73"/>
      <x:c r="O35" s="76"/>
      <x:c r="P35" s="29"/>
      <x:c r="Q35" s="30"/>
      <x:c r="R35" s="31"/>
      <x:c r="S35" s="31"/>
    </x:row>
    <x:row r="36" spans="1:19" s="7" customFormat="1" hidden="1" outlineLevel="2" collapsed="1" x14ac:dyDescent="0.2">
      <x:c r="A36" s="5"/>
      <x:c r="B36" s="45" t="inlineStr">
        <x:is>
          <x:t>J500</x:t>
        </x:is>
      </x:c>
      <x:c r="C36" s="46" t="inlineStr">
        <x:is>
          <x:t>Opas, Wojciech</x:t>
        </x:is>
      </x:c>
      <x:c r="D36" s="45" t="n">
        <x:v>16.8</x:v>
      </x:c>
      <x:c r="E36" s="19" t="n">
        <x:v>2.25</x:v>
      </x:c>
      <x:c r="F36" s="19" t="n">
        <x:f>MAX(D36-E36, 0)</x:f>
        <x:v>1</x:v>
      </x:c>
      <x:c r="G36" s="47" t="n">
        <x:f>IF(D36=0,0,ABS(E36/D36))</x:f>
        <x:v>0.5</x:v>
      </x:c>
      <x:c r="H36" s="72"/>
      <x:c r="I36" s="73"/>
      <x:c r="J36" s="73"/>
      <x:c r="K36" s="74"/>
      <x:c r="L36" s="19" t="n">
        <x:v>153.6</x:v>
      </x:c>
      <x:c r="M36" s="57"/>
      <x:c r="N36" s="54"/>
      <x:c r="O36" s="71"/>
      <x:c r="P36" s="29"/>
      <x:c r="Q36" s="30"/>
      <x:c r="R36" s="31"/>
      <x:c r="S36" s="31"/>
    </x:row>
    <x:row r="37" spans="1:19" s="7" customFormat="1" outlineLevel="1" x14ac:dyDescent="0.2">
      <x:c r="A37" s="5"/>
      <x:c r="B37" s="58" t="inlineStr">
        <x:v>49</x:v>
        <x:is>
          <x:t>Total J500</x:t>
        </x:is>
      </x:c>
      <x:c r="C37" s="59"/>
      <x:c r="D37" s="58" t="n">
        <x:v>285.6</x:v>
      </x:c>
      <x:c r="E37" s="60" t="n">
        <x:v>117.25</x:v>
      </x:c>
      <x:c r="F37" s="60" t="n">
        <x:f>MAX(D37-E37, 0)</x:f>
        <x:v>1</x:v>
      </x:c>
      <x:c r="G37" s="61" t="n">
        <x:f>IF(D37=0,0,ABS(E37/D37))</x:f>
        <x:v>0.5</x:v>
      </x:c>
      <x:c r="H37" s="58" t="n">
        <x:v>3371.6</x:v>
      </x:c>
      <x:c r="I37" s="60" t="n">
        <x:v>1832.25</x:v>
      </x:c>
      <x:c r="J37" s="62" t="n">
        <x:f>IF(H37=0,"No plan at start",I37/H37)</x:f>
        <x:v>2</x:v>
      </x:c>
      <x:c r="K37" s="60" t="n">
        <x:f>MAX(H37-I37, 0)</x:f>
        <x:v>0</x:v>
      </x:c>
      <x:c r="L37" s="60" t="n">
        <x:v>1538.81</x:v>
      </x:c>
      <x:c r="M37" s="60" t="n">
        <x:f>I37+L37</x:f>
        <x:v>3</x:v>
      </x:c>
      <x:c r="N37" s="60" t="n">
        <x:f>M37-H37</x:f>
        <x:v>2</x:v>
      </x:c>
      <x:c r="O37" s="61" t="n">
        <x:f>IF(H37=0,"No plan at start",M37/H37)</x:f>
        <x:v>3</x:v>
      </x:c>
      <x:c r="P37" s="29"/>
      <x:c r="Q37" s="30"/>
      <x:c r="R37" s="31"/>
      <x:c r="S37" s="31"/>
    </x:row>
    <x:row r="38" spans="1:19" s="7" customFormat="1" hidden="1" outlineLevel="2" collapsed="1" x14ac:dyDescent="0.2">
      <x:c r="A38" s="5"/>
      <x:c r="B38" s="45" t="inlineStr">
        <x:is>
          <x:t>K358</x:t>
        </x:is>
      </x:c>
      <x:c r="C38" s="46" t="inlineStr">
        <x:is>
          <x:t>Bloch, Wlodzimierz</x:t>
        </x:is>
      </x:c>
      <x:c r="D38" s="45" t="n">
        <x:v>0</x:v>
      </x:c>
      <x:c r="E38" s="19" t="n">
        <x:v>3.5</x:v>
      </x:c>
      <x:c r="F38" s="19" t="n">
        <x:f>MAX(D38-E38, 0)</x:f>
        <x:v>1</x:v>
      </x:c>
      <x:c r="G38" s="47" t="n">
        <x:f>IF(D38=0,0,ABS(E38/D38))</x:f>
        <x:v>0.5</x:v>
      </x:c>
      <x:c r="H38" s="52"/>
      <x:c r="I38" s="50"/>
      <x:c r="J38" s="50"/>
      <x:c r="K38" s="51"/>
      <x:c r="L38" s="19" t="n">
        <x:v>0</x:v>
      </x:c>
      <x:c r="M38" s="56"/>
      <x:c r="N38" s="50"/>
      <x:c r="O38" s="70"/>
      <x:c r="P38" s="29"/>
      <x:c r="Q38" s="30"/>
      <x:c r="R38" s="31"/>
      <x:c r="S38" s="31"/>
    </x:row>
    <x:row r="39" spans="1:19" s="7" customFormat="1" outlineLevel="1" x14ac:dyDescent="0.2">
      <x:c r="A39" s="5"/>
      <x:c r="B39" s="58" t="inlineStr">
        <x:v>49</x:v>
        <x:is>
          <x:t>Total K358</x:t>
        </x:is>
      </x:c>
      <x:c r="C39" s="59"/>
      <x:c r="D39" s="58" t="n">
        <x:v>0</x:v>
      </x:c>
      <x:c r="E39" s="60" t="n">
        <x:v>3.5</x:v>
      </x:c>
      <x:c r="F39" s="60" t="n">
        <x:f>MAX(D39-E39, 0)</x:f>
        <x:v>1</x:v>
      </x:c>
      <x:c r="G39" s="61" t="n">
        <x:f>IF(D39=0,0,ABS(E39/D39))</x:f>
        <x:v>0.5</x:v>
      </x:c>
      <x:c r="H39" s="58" t="n">
        <x:v>0</x:v>
      </x:c>
      <x:c r="I39" s="60" t="n">
        <x:v>15.5</x:v>
      </x:c>
      <x:c r="J39" s="62" t="n">
        <x:f>IF(H39=0,"No plan at start",I39/H39)</x:f>
        <x:v>2</x:v>
      </x:c>
      <x:c r="K39" s="60" t="n">
        <x:f>MAX(H39-I39, 0)</x:f>
        <x:v>0</x:v>
      </x:c>
      <x:c r="L39" s="60" t="n">
        <x:v>0</x:v>
      </x:c>
      <x:c r="M39" s="60" t="n">
        <x:f>I39+L39</x:f>
        <x:v>3</x:v>
      </x:c>
      <x:c r="N39" s="60" t="n">
        <x:f>M39-H39</x:f>
        <x:v>2</x:v>
      </x:c>
      <x:c r="O39" s="61" t="n">
        <x:f>IF(H39=0,"No plan at start",M39/H39)</x:f>
        <x:v>3</x:v>
      </x:c>
      <x:c r="P39" s="29"/>
      <x:c r="Q39" s="30"/>
      <x:c r="R39" s="31"/>
      <x:c r="S39" s="31"/>
    </x:row>
    <x:row r="40" spans="1:19" s="7" customFormat="1" hidden="1" outlineLevel="2" collapsed="1" x14ac:dyDescent="0.2">
      <x:c r="A40" s="5"/>
      <x:c r="B40" s="45" t="inlineStr">
        <x:is>
          <x:t>N386</x:t>
        </x:is>
      </x:c>
      <x:c r="C40" s="46" t="inlineStr">
        <x:is>
          <x:t>Bloch, Wlodzimierz</x:t>
        </x:is>
      </x:c>
      <x:c r="D40" s="45" t="n">
        <x:v>19.2</x:v>
      </x:c>
      <x:c r="E40" s="19" t="n">
        <x:v>0</x:v>
      </x:c>
      <x:c r="F40" s="19" t="n">
        <x:f>MAX(D40-E40, 0)</x:f>
        <x:v>1</x:v>
      </x:c>
      <x:c r="G40" s="47" t="n">
        <x:f>IF(D40=0,0,ABS(E40/D40))</x:f>
        <x:v>0.5</x:v>
      </x:c>
      <x:c r="H40" s="52"/>
      <x:c r="I40" s="50"/>
      <x:c r="J40" s="50"/>
      <x:c r="K40" s="51"/>
      <x:c r="L40" s="19" t="n">
        <x:v>41</x:v>
      </x:c>
      <x:c r="M40" s="56"/>
      <x:c r="N40" s="50"/>
      <x:c r="O40" s="70"/>
      <x:c r="P40" s="29"/>
      <x:c r="Q40" s="30"/>
      <x:c r="R40" s="31"/>
      <x:c r="S40" s="31"/>
    </x:row>
    <x:row r="41" spans="1:19" s="7" customFormat="1" outlineLevel="1" x14ac:dyDescent="0.2">
      <x:c r="A41" s="5"/>
      <x:c r="B41" s="58" t="inlineStr">
        <x:v>49</x:v>
        <x:is>
          <x:t>Total N386</x:t>
        </x:is>
      </x:c>
      <x:c r="C41" s="59"/>
      <x:c r="D41" s="58" t="n">
        <x:v>19.2</x:v>
      </x:c>
      <x:c r="E41" s="60" t="n">
        <x:v>0</x:v>
      </x:c>
      <x:c r="F41" s="60" t="n">
        <x:f>MAX(D41-E41, 0)</x:f>
        <x:v>1</x:v>
      </x:c>
      <x:c r="G41" s="61" t="n">
        <x:f>IF(D41=0,0,ABS(E41/D41))</x:f>
        <x:v>0.5</x:v>
      </x:c>
      <x:c r="H41" s="58" t="n">
        <x:v>0</x:v>
      </x:c>
      <x:c r="I41" s="60" t="n">
        <x:v>4</x:v>
      </x:c>
      <x:c r="J41" s="62" t="n">
        <x:f>IF(H41=0,"No plan at start",I41/H41)</x:f>
        <x:v>2</x:v>
      </x:c>
      <x:c r="K41" s="60" t="n">
        <x:f>MAX(H41-I41, 0)</x:f>
        <x:v>0</x:v>
      </x:c>
      <x:c r="L41" s="60" t="n">
        <x:v>41</x:v>
      </x:c>
      <x:c r="M41" s="60" t="n">
        <x:f>I41+L41</x:f>
        <x:v>3</x:v>
      </x:c>
      <x:c r="N41" s="60" t="n">
        <x:f>M41-H41</x:f>
        <x:v>2</x:v>
      </x:c>
      <x:c r="O41" s="61" t="n">
        <x:f>IF(H41=0,"No plan at start",M41/H41)</x:f>
        <x:v>3</x:v>
      </x:c>
      <x:c r="P41" s="29"/>
      <x:c r="Q41" s="30"/>
      <x:c r="R41" s="31"/>
      <x:c r="S41" s="31"/>
    </x:row>
    <x:row r="42" spans="1:19" s="7" customFormat="1" hidden="1" outlineLevel="2" collapsed="1" x14ac:dyDescent="0.2">
      <x:c r="A42" s="5"/>
      <x:c r="B42" s="45" t="inlineStr">
        <x:is>
          <x:t>N707</x:t>
        </x:is>
      </x:c>
      <x:c r="C42" s="46" t="inlineStr">
        <x:is>
          <x:t>Bloch, Wlodzimierz</x:t>
        </x:is>
      </x:c>
      <x:c r="D42" s="45" t="n">
        <x:v>0</x:v>
      </x:c>
      <x:c r="E42" s="19" t="n">
        <x:v>4</x:v>
      </x:c>
      <x:c r="F42" s="19" t="n">
        <x:f>MAX(D42-E42, 0)</x:f>
        <x:v>1</x:v>
      </x:c>
      <x:c r="G42" s="47" t="n">
        <x:f>IF(D42=0,0,ABS(E42/D42))</x:f>
        <x:v>0.5</x:v>
      </x:c>
      <x:c r="H42" s="52"/>
      <x:c r="I42" s="50"/>
      <x:c r="J42" s="50"/>
      <x:c r="K42" s="51"/>
      <x:c r="L42" s="19" t="n">
        <x:v>0</x:v>
      </x:c>
      <x:c r="M42" s="56"/>
      <x:c r="N42" s="50"/>
      <x:c r="O42" s="70"/>
      <x:c r="P42" s="29"/>
      <x:c r="Q42" s="30"/>
      <x:c r="R42" s="31"/>
      <x:c r="S42" s="31"/>
    </x:row>
    <x:row r="43" spans="1:19" s="7" customFormat="1" ht="13.5" outlineLevel="1" thickBot="1" x14ac:dyDescent="0.25">
      <x:c r="A43" s="5"/>
      <x:c r="B43" s="63" t="inlineStr">
        <x:v>49</x:v>
        <x:is>
          <x:t>Total N707</x:t>
        </x:is>
      </x:c>
      <x:c r="C43" s="64"/>
      <x:c r="D43" s="63" t="n">
        <x:v>0</x:v>
      </x:c>
      <x:c r="E43" s="65" t="n">
        <x:v>4</x:v>
      </x:c>
      <x:c r="F43" s="65" t="n">
        <x:f>MAX(D43-E43, 0)</x:f>
        <x:v>0</x:v>
      </x:c>
      <x:c r="G43" s="66" t="n">
        <x:f>IF(D43=0,0,ABS(E43/D43))</x:f>
        <x:v>0</x:v>
      </x:c>
      <x:c r="H43" s="63" t="n">
        <x:v>0</x:v>
      </x:c>
      <x:c r="I43" s="65" t="n">
        <x:v>15.0</x:v>
      </x:c>
      <x:c r="J43" s="67" t="n">
        <x:f>IF(H43=0,"No plan at start",I43/H43)</x:f>
        <x:v>0.5</x:v>
      </x:c>
      <x:c r="K43" s="65" t="n">
        <x:f>MAX(H43-I43, 0)</x:f>
        <x:v>1</x:v>
      </x:c>
      <x:c r="L43" s="65" t="n">
        <x:v>0</x:v>
      </x:c>
      <x:c r="M43" s="65" t="n">
        <x:f>I43+L43</x:f>
        <x:v>6</x:v>
      </x:c>
      <x:c r="N43" s="65" t="n">
        <x:f>M43-H43</x:f>
        <x:v>4</x:v>
      </x:c>
      <x:c r="O43" s="66" t="n">
        <x:f>IF(H43=0,"No plan at start",M43/H43)</x:f>
        <x:v>3</x:v>
      </x:c>
      <x:c r="P43" s="29"/>
      <x:c r="Q43" s="30"/>
      <x:c r="R43" s="31"/>
      <x:c r="S43" s="31"/>
    </x:row>
    <x:row r="44" x14ac:dyDescent="0.2"/>
    <x:row r="45" x14ac:dyDescent="0.2"/>
    <x:row r="46" spans="1:19" x14ac:dyDescent="0.2">
      <x:c r="B46" s="14" t="s">
        <x:v>30</x:v>
      </x:c>
      <x:c r="C46" s="15"/>
      <x:c r="D46" s="15"/>
      <x:c r="E46" s="15"/>
      <x:c r="F46" s="16"/>
      <x:c r="G46" s="16"/>
      <x:c r="H46" s="17"/>
      <x:c r="I46" s="7"/>
      <x:c r="J46" s="7"/>
      <x:c r="K46" s="18"/>
      <x:c r="L46" s="7"/>
      <x:c r="M46" s="25"/>
      <x:c r="N46" s="7"/>
      <x:c r="O46" s="7"/>
    </x:row>
    <x:row r="47" spans="1:19" ht="13.5" thickBot="1" x14ac:dyDescent="0.25">
      <x:c r="B47" s="7"/>
      <x:c r="C47" s="7"/>
      <x:c r="D47" s="7"/>
      <x:c r="E47" s="7"/>
      <x:c r="F47" s="7"/>
      <x:c r="G47" s="7"/>
      <x:c r="H47" s="7"/>
      <x:c r="I47" s="7"/>
      <x:c r="J47" s="7"/>
      <x:c r="K47" s="7"/>
      <x:c r="L47" s="7"/>
      <x:c r="M47" s="7"/>
      <x:c r="N47" s="7"/>
      <x:c r="O47" s="7"/>
    </x:row>
    <x:row r="48" spans="1:19" x14ac:dyDescent="0.2">
      <x:c r="B48" s="48"/>
      <x:c r="C48" s="49"/>
      <x:c r="D48" s="77" t="s">
        <x:v>39</x:v>
      </x:c>
      <x:c r="E48" s="78"/>
      <x:c r="F48" s="78"/>
      <x:c r="G48" s="79"/>
      <x:c r="H48" s="77" t="s">
        <x:v>40</x:v>
      </x:c>
      <x:c r="I48" s="78"/>
      <x:c r="J48" s="78"/>
      <x:c r="K48" s="78"/>
      <x:c r="L48" s="78"/>
      <x:c r="M48" s="78"/>
      <x:c r="N48" s="78"/>
      <x:c r="O48" s="79"/>
    </x:row>
    <x:row r="49" spans="1:19" x14ac:dyDescent="0.2">
      <x:c r="B49" s="68"/>
      <x:c r="C49" s="69"/>
      <x:c r="D49" s="36" t="s">
        <x:v>2</x:v>
      </x:c>
      <x:c r="E49" s="38" t="s">
        <x:v>3</x:v>
      </x:c>
      <x:c r="F49" s="38" t="s">
        <x:v>44</x:v>
      </x:c>
      <x:c r="G49" s="37" t="s">
        <x:v>41</x:v>
      </x:c>
      <x:c r="H49" s="36" t="s">
        <x:v>20</x:v>
      </x:c>
      <x:c r="I49" s="38" t="s">
        <x:v>34</x:v>
      </x:c>
      <x:c r="J49" s="39" t="s">
        <x:v>35</x:v>
      </x:c>
      <x:c r="K49" s="39" t="s">
        <x:v>36</x:v>
      </x:c>
      <x:c r="L49" s="38" t="s">
        <x:v>19</x:v>
      </x:c>
      <x:c r="M49" s="38" t="s">
        <x:v>37</x:v>
      </x:c>
      <x:c r="N49" s="38" t="s">
        <x:v>22</x:v>
      </x:c>
      <x:c r="O49" s="37" t="s">
        <x:v>23</x:v>
      </x:c>
    </x:row>
    <x:row r="50" spans="1:19" ht="76.5" x14ac:dyDescent="0.2">
      <x:c r="B50" s="40" t="s">
        <x:v>14</x:v>
      </x:c>
      <x:c r="C50" s="41" t="s">
        <x:v>28</x:v>
      </x:c>
      <x:c r="D50" s="40" t="s">
        <x:v>45</x:v>
      </x:c>
      <x:c r="E50" s="42" t="s">
        <x:v>15</x:v>
      </x:c>
      <x:c r="F50" s="42" t="s">
        <x:v>42</x:v>
      </x:c>
      <x:c r="G50" s="41" t="s">
        <x:v>43</x:v>
      </x:c>
      <x:c r="H50" s="40" t="s">
        <x:v>46</x:v>
      </x:c>
      <x:c r="I50" s="42" t="s">
        <x:v>31</x:v>
      </x:c>
      <x:c r="J50" s="43" t="s">
        <x:v>47</x:v>
      </x:c>
      <x:c r="K50" s="43" t="s">
        <x:v>17</x:v>
      </x:c>
      <x:c r="L50" s="42" t="s">
        <x:v>48</x:v>
      </x:c>
      <x:c r="M50" s="42" t="s">
        <x:v>32</x:v>
      </x:c>
      <x:c r="N50" s="42" t="s">
        <x:v>33</x:v>
      </x:c>
      <x:c r="O50" s="41" t="s">
        <x:v>24</x:v>
      </x:c>
    </x:row>
    <x:row r="51" spans="1:19" hidden="1" outlineLevel="2" collapsed="1" x14ac:dyDescent="0.2">
      <x:c r="B51" s="45" t="inlineStr">
        <x:is>
          <x:t>E872</x:t>
        </x:is>
      </x:c>
      <x:c r="C51" s="46" t="inlineStr">
        <x:is>
          <x:t>Bloch, Wlodzimierz</x:t>
        </x:is>
      </x:c>
      <x:c r="D51" s="45" t="n">
        <x:v>3144.96</x:v>
      </x:c>
      <x:c r="E51" s="19" t="n">
        <x:v>1435.2</x:v>
      </x:c>
      <x:c r="F51" s="19" t="n">
        <x:f>MAX(D51-E51, 0)</x:f>
        <x:v>1</x:v>
      </x:c>
      <x:c r="G51" s="47" t="n">
        <x:f>IF(D51=0,0,ABS(E51/D51))</x:f>
        <x:v>0.5</x:v>
      </x:c>
      <x:c r="H51" s="52"/>
      <x:c r="I51" s="50"/>
      <x:c r="J51" s="50"/>
      <x:c r="K51" s="51"/>
      <x:c r="L51" s="19" t="n">
        <x:v>19418.880</x:v>
      </x:c>
      <x:c r="M51" s="50"/>
      <x:c r="N51" s="50"/>
      <x:c r="O51" s="70"/>
    </x:row>
    <x:row r="52" spans="1:19" hidden="1" outlineLevel="2" collapsed="1" x14ac:dyDescent="0.2">
      <x:c r="B52" s="45" t="inlineStr">
        <x:is>
          <x:t>E872</x:t>
        </x:is>
      </x:c>
      <x:c r="C52" s="46" t="inlineStr">
        <x:is>
          <x:t>Jozwik, Katarzyna</x:t>
        </x:is>
      </x:c>
      <x:c r="D52" s="45" t="n">
        <x:v>0</x:v>
      </x:c>
      <x:c r="E52" s="19" t="n">
        <x:v>474.24</x:v>
      </x:c>
      <x:c r="F52" s="19" t="n">
        <x:f>MAX(D52-E52, 0)</x:f>
        <x:v>1</x:v>
      </x:c>
      <x:c r="G52" s="47" t="n">
        <x:f>IF(D52=0,0,ABS(E52/D52))</x:f>
        <x:v>0.5</x:v>
      </x:c>
      <x:c r="H52" s="72"/>
      <x:c r="I52" s="73"/>
      <x:c r="J52" s="73"/>
      <x:c r="K52" s="74"/>
      <x:c r="L52" s="19" t="n">
        <x:v>0</x:v>
      </x:c>
      <x:c r="M52" s="73"/>
      <x:c r="N52" s="73"/>
      <x:c r="O52" s="76"/>
    </x:row>
    <x:row r="53" spans="1:19" hidden="1" outlineLevel="2" collapsed="1" x14ac:dyDescent="0.2">
      <x:c r="B53" s="45" t="inlineStr">
        <x:is>
          <x:t>E872</x:t>
        </x:is>
      </x:c>
      <x:c r="C53" s="46" t="inlineStr">
        <x:is>
          <x:t>Maslowski, Michal</x:t>
        </x:is>
      </x:c>
      <x:c r="D53" s="45" t="n">
        <x:v>0</x:v>
      </x:c>
      <x:c r="E53" s="19" t="n">
        <x:v>1198.08</x:v>
      </x:c>
      <x:c r="F53" s="19" t="n">
        <x:f>MAX(D53-E53, 0)</x:f>
        <x:v>1</x:v>
      </x:c>
      <x:c r="G53" s="47" t="n">
        <x:f>IF(D53=0,0,ABS(E53/D53))</x:f>
        <x:v>0.5</x:v>
      </x:c>
      <x:c r="H53" s="72"/>
      <x:c r="I53" s="73"/>
      <x:c r="J53" s="73"/>
      <x:c r="K53" s="74"/>
      <x:c r="L53" s="19" t="n">
        <x:v>0</x:v>
      </x:c>
      <x:c r="M53" s="73"/>
      <x:c r="N53" s="73"/>
      <x:c r="O53" s="76"/>
    </x:row>
    <x:row r="54" spans="1:19" hidden="1" outlineLevel="2" collapsed="1" x14ac:dyDescent="0.2">
      <x:c r="B54" s="45" t="inlineStr">
        <x:is>
          <x:t>E872</x:t>
        </x:is>
      </x:c>
      <x:c r="C54" s="46" t="inlineStr">
        <x:is>
          <x:t>Nieckarz, Marcin</x:t>
        </x:is>
      </x:c>
      <x:c r="D54" s="45" t="n">
        <x:v>3494.4</x:v>
      </x:c>
      <x:c r="E54" s="19" t="n">
        <x:v>1937</x:v>
      </x:c>
      <x:c r="F54" s="19" t="n">
        <x:f>MAX(D54-E54, 0)</x:f>
        <x:v>1</x:v>
      </x:c>
      <x:c r="G54" s="47" t="n">
        <x:f>IF(D54=0,0,ABS(E54/D54))</x:f>
        <x:v>0.5</x:v>
      </x:c>
      <x:c r="H54" s="53"/>
      <x:c r="I54" s="54"/>
      <x:c r="J54" s="54"/>
      <x:c r="K54" s="55"/>
      <x:c r="L54" s="19" t="n">
        <x:v>9796.8</x:v>
      </x:c>
      <x:c r="M54" s="54"/>
      <x:c r="N54" s="54"/>
      <x:c r="O54" s="71"/>
    </x:row>
    <x:row r="55" spans="1:19" outlineLevel="1" x14ac:dyDescent="0.2">
      <x:c r="B55" s="58" t="inlineStr">
        <x:v>49</x:v>
        <x:is>
          <x:t>Total E872</x:t>
        </x:is>
      </x:c>
      <x:c r="C55" s="59"/>
      <x:c r="D55" s="58" t="n">
        <x:v>6639.36</x:v>
      </x:c>
      <x:c r="E55" s="60" t="n">
        <x:v>5044.52</x:v>
      </x:c>
      <x:c r="F55" s="60" t="n">
        <x:f>MAX(D55-E55, 0)</x:f>
        <x:v>1</x:v>
      </x:c>
      <x:c r="G55" s="61" t="n">
        <x:f>IF(D55=0,0,ABS(E55/D55))</x:f>
        <x:v>0.5</x:v>
      </x:c>
      <x:c r="H55" s="58" t="n">
        <x:v>95181.632</x:v>
      </x:c>
      <x:c r="I55" s="60" t="n">
        <x:v>149458.905</x:v>
      </x:c>
      <x:c r="J55" s="62" t="n">
        <x:f>IF(H55=0,"No plan at start",I55/H55)</x:f>
        <x:v>2</x:v>
      </x:c>
      <x:c r="K55" s="60" t="n">
        <x:f>MAX(H55-I55, 0)</x:f>
        <x:v>0</x:v>
      </x:c>
      <x:c r="L55" s="60" t="n">
        <x:v>29215.680</x:v>
      </x:c>
      <x:c r="M55" s="60" t="n">
        <x:f>I55+L55</x:f>
        <x:v>3</x:v>
      </x:c>
      <x:c r="N55" s="60" t="n">
        <x:f>M55-H55</x:f>
        <x:v>2</x:v>
      </x:c>
      <x:c r="O55" s="61" t="n">
        <x:f>IF(H55=0,"No plan at start",M55/H55)</x:f>
        <x:v>3</x:v>
      </x:c>
    </x:row>
    <x:row r="56" spans="1:19" hidden="1" outlineLevel="2" collapsed="1" x14ac:dyDescent="0.2">
      <x:c r="B56" s="45" t="inlineStr">
        <x:is>
          <x:t>F808</x:t>
        </x:is>
      </x:c>
      <x:c r="C56" s="46" t="inlineStr">
        <x:is>
          <x:t>Bloch, Wlodzimierz</x:t>
        </x:is>
      </x:c>
      <x:c r="D56" s="45" t="n">
        <x:v>524.16</x:v>
      </x:c>
      <x:c r="E56" s="19" t="n">
        <x:v>0</x:v>
      </x:c>
      <x:c r="F56" s="19" t="n">
        <x:f>MAX(D56-E56, 0)</x:f>
        <x:v>1</x:v>
      </x:c>
      <x:c r="G56" s="47" t="n">
        <x:f>IF(D56=0,0,ABS(E56/D56))</x:f>
        <x:v>0.5</x:v>
      </x:c>
      <x:c r="H56" s="52"/>
      <x:c r="I56" s="50"/>
      <x:c r="J56" s="50"/>
      <x:c r="K56" s="51"/>
      <x:c r="L56" s="19" t="n">
        <x:v>2670.72</x:v>
      </x:c>
      <x:c r="M56" s="50"/>
      <x:c r="N56" s="50"/>
      <x:c r="O56" s="70"/>
    </x:row>
    <x:row r="57" spans="1:19" outlineLevel="1" x14ac:dyDescent="0.2">
      <x:c r="B57" s="58" t="inlineStr">
        <x:v>49</x:v>
        <x:is>
          <x:t>Total F808</x:t>
        </x:is>
      </x:c>
      <x:c r="C57" s="59"/>
      <x:c r="D57" s="58" t="n">
        <x:v>524.16</x:v>
      </x:c>
      <x:c r="E57" s="60" t="n">
        <x:v>0</x:v>
      </x:c>
      <x:c r="F57" s="60" t="n">
        <x:f>MAX(D57-E57, 0)</x:f>
        <x:v>1</x:v>
      </x:c>
      <x:c r="G57" s="61" t="n">
        <x:f>IF(D57=0,0,ABS(E57/D57))</x:f>
        <x:v>0.5</x:v>
      </x:c>
      <x:c r="H57" s="58" t="n">
        <x:v>22335.04</x:v>
      </x:c>
      <x:c r="I57" s="60" t="n">
        <x:v>31226.52</x:v>
      </x:c>
      <x:c r="J57" s="62" t="n">
        <x:f>IF(H57=0,"No plan at start",I57/H57)</x:f>
        <x:v>2</x:v>
      </x:c>
      <x:c r="K57" s="60" t="n">
        <x:f>MAX(H57-I57, 0)</x:f>
        <x:v>0</x:v>
      </x:c>
      <x:c r="L57" s="60" t="n">
        <x:v>2670.72</x:v>
      </x:c>
      <x:c r="M57" s="60" t="n">
        <x:f>I57+L57</x:f>
        <x:v>3</x:v>
      </x:c>
      <x:c r="N57" s="60" t="n">
        <x:f>M57-H57</x:f>
        <x:v>2</x:v>
      </x:c>
      <x:c r="O57" s="61" t="n">
        <x:f>IF(H57=0,"No plan at start",M57/H57)</x:f>
        <x:v>3</x:v>
      </x:c>
    </x:row>
    <x:row r="58" spans="1:19" hidden="1" outlineLevel="2" collapsed="1" x14ac:dyDescent="0.2">
      <x:c r="B58" s="45" t="inlineStr">
        <x:is>
          <x:t>F958</x:t>
        </x:is>
      </x:c>
      <x:c r="C58" s="46" t="inlineStr">
        <x:is>
          <x:t>Bloch, Wlodzimierz</x:t>
        </x:is>
      </x:c>
      <x:c r="D58" s="45" t="n">
        <x:v>0</x:v>
      </x:c>
      <x:c r="E58" s="19" t="n">
        <x:v>0</x:v>
      </x:c>
      <x:c r="F58" s="19" t="n">
        <x:f>MAX(D58-E58, 0)</x:f>
        <x:v>1</x:v>
      </x:c>
      <x:c r="G58" s="47" t="n">
        <x:f>IF(D58=0,0,ABS(E58/D58))</x:f>
        <x:v>0.5</x:v>
      </x:c>
      <x:c r="H58" s="52"/>
      <x:c r="I58" s="50"/>
      <x:c r="J58" s="50"/>
      <x:c r="K58" s="51"/>
      <x:c r="L58" s="19" t="n">
        <x:v>2410.512</x:v>
      </x:c>
      <x:c r="M58" s="50"/>
      <x:c r="N58" s="50"/>
      <x:c r="O58" s="70"/>
    </x:row>
    <x:row r="59" spans="1:19" hidden="1" outlineLevel="2" collapsed="1" x14ac:dyDescent="0.2">
      <x:c r="B59" s="45" t="inlineStr">
        <x:is>
          <x:t>F958</x:t>
        </x:is>
      </x:c>
      <x:c r="C59" s="46" t="inlineStr">
        <x:is>
          <x:t>Olszewska, Beata</x:t>
        </x:is>
      </x:c>
      <x:c r="D59" s="45" t="n">
        <x:v>0</x:v>
      </x:c>
      <x:c r="E59" s="19" t="n">
        <x:v>0</x:v>
      </x:c>
      <x:c r="F59" s="19" t="n">
        <x:f>MAX(D59-E59, 0)</x:f>
        <x:v>1</x:v>
      </x:c>
      <x:c r="G59" s="47" t="n">
        <x:f>IF(D59=0,0,ABS(E59/D59))</x:f>
        <x:v>0.5</x:v>
      </x:c>
      <x:c r="H59" s="53"/>
      <x:c r="I59" s="54"/>
      <x:c r="J59" s="54"/>
      <x:c r="K59" s="55"/>
      <x:c r="L59" s="19" t="n">
        <x:v>1004.38</x:v>
      </x:c>
      <x:c r="M59" s="54"/>
      <x:c r="N59" s="54"/>
      <x:c r="O59" s="71"/>
    </x:row>
    <x:row r="60" spans="1:19" outlineLevel="1" x14ac:dyDescent="0.2">
      <x:c r="B60" s="58" t="inlineStr">
        <x:v>49</x:v>
        <x:is>
          <x:t>Total F958</x:t>
        </x:is>
      </x:c>
      <x:c r="C60" s="59"/>
      <x:c r="D60" s="58" t="n">
        <x:v>0</x:v>
      </x:c>
      <x:c r="E60" s="60" t="n">
        <x:v>0</x:v>
      </x:c>
      <x:c r="F60" s="60" t="n">
        <x:f>MAX(D60-E60, 0)</x:f>
        <x:v>1</x:v>
      </x:c>
      <x:c r="G60" s="61" t="n">
        <x:f>IF(D60=0,0,ABS(E60/D60))</x:f>
        <x:v>0.5</x:v>
      </x:c>
      <x:c r="H60" s="58" t="n">
        <x:v>3222.4</x:v>
      </x:c>
      <x:c r="I60" s="60" t="n">
        <x:v>4140.435</x:v>
      </x:c>
      <x:c r="J60" s="62" t="n">
        <x:f>IF(H60=0,"No plan at start",I60/H60)</x:f>
        <x:v>2</x:v>
      </x:c>
      <x:c r="K60" s="60" t="n">
        <x:f>MAX(H60-I60, 0)</x:f>
        <x:v>0</x:v>
      </x:c>
      <x:c r="L60" s="60" t="n">
        <x:v>3414.892</x:v>
      </x:c>
      <x:c r="M60" s="60" t="n">
        <x:f>I60+L60</x:f>
        <x:v>3</x:v>
      </x:c>
      <x:c r="N60" s="60" t="n">
        <x:f>M60-H60</x:f>
        <x:v>2</x:v>
      </x:c>
      <x:c r="O60" s="61" t="n">
        <x:f>IF(H60=0,"No plan at start",M60/H60)</x:f>
        <x:v>3</x:v>
      </x:c>
    </x:row>
    <x:row r="61" spans="1:19" hidden="1" outlineLevel="2" collapsed="1" x14ac:dyDescent="0.2">
      <x:c r="B61" s="45" t="inlineStr">
        <x:is>
          <x:t>H808</x:t>
        </x:is>
      </x:c>
      <x:c r="C61" s="46" t="inlineStr">
        <x:is>
          <x:t>Bloch, Wlodzimierz</x:t>
        </x:is>
      </x:c>
      <x:c r="D61" s="45" t="n">
        <x:v>2096.64</x:v>
      </x:c>
      <x:c r="E61" s="19" t="n">
        <x:v>218.4</x:v>
      </x:c>
      <x:c r="F61" s="19" t="n">
        <x:f>MAX(D61-E61, 0)</x:f>
        <x:v>1</x:v>
      </x:c>
      <x:c r="G61" s="47" t="n">
        <x:f>IF(D61=0,0,ABS(E61/D61))</x:f>
        <x:v>0.5</x:v>
      </x:c>
      <x:c r="H61" s="52"/>
      <x:c r="I61" s="50"/>
      <x:c r="J61" s="50"/>
      <x:c r="K61" s="51"/>
      <x:c r="L61" s="19" t="n">
        <x:v>998.4</x:v>
      </x:c>
      <x:c r="M61" s="50"/>
      <x:c r="N61" s="50"/>
      <x:c r="O61" s="70"/>
    </x:row>
    <x:row r="62" spans="1:19" hidden="1" outlineLevel="2" collapsed="1" x14ac:dyDescent="0.2">
      <x:c r="B62" s="45" t="inlineStr">
        <x:is>
          <x:t>H808</x:t>
        </x:is>
      </x:c>
      <x:c r="C62" s="46" t="inlineStr">
        <x:is>
          <x:t>Jozwik, Katarzyna</x:t>
        </x:is>
      </x:c>
      <x:c r="D62" s="45" t="n">
        <x:v>1397.76</x:v>
      </x:c>
      <x:c r="E62" s="19" t="n">
        <x:v>890.24</x:v>
      </x:c>
      <x:c r="F62" s="19" t="n">
        <x:f>MAX(D62-E62, 0)</x:f>
        <x:v>1</x:v>
      </x:c>
      <x:c r="G62" s="47" t="n">
        <x:f>IF(D62=0,0,ABS(E62/D62))</x:f>
        <x:v>0.5</x:v>
      </x:c>
      <x:c r="H62" s="72"/>
      <x:c r="I62" s="73"/>
      <x:c r="J62" s="73"/>
      <x:c r="K62" s="74"/>
      <x:c r="L62" s="19" t="n">
        <x:v>4006.912</x:v>
      </x:c>
      <x:c r="M62" s="73"/>
      <x:c r="N62" s="73"/>
      <x:c r="O62" s="76"/>
    </x:row>
    <x:row r="63" spans="1:19" hidden="1" outlineLevel="2" collapsed="1" x14ac:dyDescent="0.2">
      <x:c r="B63" s="45" t="inlineStr">
        <x:is>
          <x:t>H808</x:t>
        </x:is>
      </x:c>
      <x:c r="C63" s="46" t="inlineStr">
        <x:is>
          <x:t>Maslowski, Michal</x:t>
        </x:is>
      </x:c>
      <x:c r="D63" s="45" t="n">
        <x:v>335.6288</x:v>
      </x:c>
      <x:c r="E63" s="19" t="n">
        <x:v>99.84</x:v>
      </x:c>
      <x:c r="F63" s="19" t="n">
        <x:f>MAX(D63-E63, 0)</x:f>
        <x:v>1</x:v>
      </x:c>
      <x:c r="G63" s="47" t="n">
        <x:f>IF(D63=0,0,ABS(E63/D63))</x:f>
        <x:v>0.5</x:v>
      </x:c>
      <x:c r="H63" s="72"/>
      <x:c r="I63" s="73"/>
      <x:c r="J63" s="73"/>
      <x:c r="K63" s="74"/>
      <x:c r="L63" s="19" t="n">
        <x:v>0</x:v>
      </x:c>
      <x:c r="M63" s="73"/>
      <x:c r="N63" s="73"/>
      <x:c r="O63" s="76"/>
    </x:row>
    <x:row r="64" spans="1:19" hidden="1" outlineLevel="2" collapsed="1" x14ac:dyDescent="0.2">
      <x:c r="B64" s="45" t="inlineStr">
        <x:is>
          <x:t>H808</x:t>
        </x:is>
      </x:c>
      <x:c r="C64" s="46" t="inlineStr">
        <x:is>
          <x:t>Olszewska, Beata</x:t>
        </x:is>
      </x:c>
      <x:c r="D64" s="45" t="n">
        <x:v>4368</x:v>
      </x:c>
      <x:c r="E64" s="19" t="n">
        <x:v>1332.5</x:v>
      </x:c>
      <x:c r="F64" s="19" t="n">
        <x:f>MAX(D64-E64, 0)</x:f>
        <x:v>1</x:v>
      </x:c>
      <x:c r="G64" s="47" t="n">
        <x:f>IF(D64=0,0,ABS(E64/D64))</x:f>
        <x:v>0.5</x:v>
      </x:c>
      <x:c r="H64" s="72"/>
      <x:c r="I64" s="73"/>
      <x:c r="J64" s="73"/>
      <x:c r="K64" s="74"/>
      <x:c r="L64" s="19" t="n">
        <x:v>13291.2</x:v>
      </x:c>
      <x:c r="M64" s="73"/>
      <x:c r="N64" s="73"/>
      <x:c r="O64" s="76"/>
    </x:row>
    <x:row r="65" spans="1:19" hidden="1" outlineLevel="2" collapsed="1" x14ac:dyDescent="0.2">
      <x:c r="B65" s="45" t="inlineStr">
        <x:is>
          <x:t>H808</x:t>
        </x:is>
      </x:c>
      <x:c r="C65" s="46" t="inlineStr">
        <x:is>
          <x:t>Opas, Wojciech</x:t>
        </x:is>
      </x:c>
      <x:c r="D65" s="45" t="n">
        <x:v>2795.52</x:v>
      </x:c>
      <x:c r="E65" s="19" t="n">
        <x:v>1327.04</x:v>
      </x:c>
      <x:c r="F65" s="19" t="n">
        <x:f>MAX(D65-E65, 0)</x:f>
        <x:v>1</x:v>
      </x:c>
      <x:c r="G65" s="47" t="n">
        <x:f>IF(D65=0,0,ABS(E65/D65))</x:f>
        <x:v>0.5</x:v>
      </x:c>
      <x:c r="H65" s="53"/>
      <x:c r="I65" s="54"/>
      <x:c r="J65" s="54"/>
      <x:c r="K65" s="55"/>
      <x:c r="L65" s="19" t="n">
        <x:v>1424.384</x:v>
      </x:c>
      <x:c r="M65" s="54"/>
      <x:c r="N65" s="54"/>
      <x:c r="O65" s="71"/>
    </x:row>
    <x:row r="66" spans="1:19" outlineLevel="1" x14ac:dyDescent="0.2">
      <x:c r="B66" s="58" t="inlineStr">
        <x:v>49</x:v>
        <x:is>
          <x:t>Total H808</x:t>
        </x:is>
      </x:c>
      <x:c r="C66" s="59"/>
      <x:c r="D66" s="58" t="n">
        <x:v>10993.5488</x:v>
      </x:c>
      <x:c r="E66" s="60" t="n">
        <x:v>3868.02</x:v>
      </x:c>
      <x:c r="F66" s="60" t="n">
        <x:f>MAX(D66-E66, 0)</x:f>
        <x:v>1</x:v>
      </x:c>
      <x:c r="G66" s="61" t="n">
        <x:f>IF(D66=0,0,ABS(E66/D66))</x:f>
        <x:v>0.5</x:v>
      </x:c>
      <x:c r="H66" s="58" t="n">
        <x:v>210977.312</x:v>
      </x:c>
      <x:c r="I66" s="60" t="n">
        <x:v>242780.510</x:v>
      </x:c>
      <x:c r="J66" s="62" t="n">
        <x:f>IF(H66=0,"No plan at start",I66/H66)</x:f>
        <x:v>2</x:v>
      </x:c>
      <x:c r="K66" s="60" t="n">
        <x:f>MAX(H66-I66, 0)</x:f>
        <x:v>0</x:v>
      </x:c>
      <x:c r="L66" s="60" t="n">
        <x:v>19720.896</x:v>
      </x:c>
      <x:c r="M66" s="60" t="n">
        <x:f>I66+L66</x:f>
        <x:v>3</x:v>
      </x:c>
      <x:c r="N66" s="60" t="n">
        <x:f>M66-H66</x:f>
        <x:v>2</x:v>
      </x:c>
      <x:c r="O66" s="61" t="n">
        <x:f>IF(H66=0,"No plan at start",M66/H66)</x:f>
        <x:v>3</x:v>
      </x:c>
    </x:row>
    <x:row r="67" spans="1:19" hidden="1" outlineLevel="2" collapsed="1" x14ac:dyDescent="0.2">
      <x:c r="B67" s="45" t="inlineStr">
        <x:is>
          <x:t>J500</x:t>
        </x:is>
      </x:c>
      <x:c r="C67" s="46" t="inlineStr">
        <x:is>
          <x:t>Bloch, Wlodzimierz</x:t>
        </x:is>
      </x:c>
      <x:c r="D67" s="45" t="n">
        <x:v>2096.64</x:v>
      </x:c>
      <x:c r="E67" s="19" t="n">
        <x:v>1435.2</x:v>
      </x:c>
      <x:c r="F67" s="19" t="n">
        <x:f>MAX(D67-E67, 0)</x:f>
        <x:v>1</x:v>
      </x:c>
      <x:c r="G67" s="47" t="n">
        <x:f>IF(D67=0,0,ABS(E67/D67))</x:f>
        <x:v>0.5</x:v>
      </x:c>
      <x:c r="H67" s="52"/>
      <x:c r="I67" s="50"/>
      <x:c r="J67" s="50"/>
      <x:c r="K67" s="51"/>
      <x:c r="L67" s="19" t="n">
        <x:v>10133.76</x:v>
      </x:c>
      <x:c r="M67" s="50"/>
      <x:c r="N67" s="50"/>
      <x:c r="O67" s="70"/>
    </x:row>
    <x:row r="68" spans="1:19" hidden="1" outlineLevel="2" collapsed="1" x14ac:dyDescent="0.2">
      <x:c r="B68" s="45" t="inlineStr">
        <x:is>
          <x:t>J500</x:t>
        </x:is>
      </x:c>
      <x:c r="C68" s="46" t="inlineStr">
        <x:is>
          <x:t>Neska, Maciej</x:t>
        </x:is>
      </x:c>
      <x:c r="D68" s="45" t="n">
        <x:v>3931.2</x:v>
      </x:c>
      <x:c r="E68" s="19" t="n">
        <x:v>2184.0</x:v>
      </x:c>
      <x:c r="F68" s="19" t="n">
        <x:f>MAX(D68-E68, 0)</x:f>
        <x:v>1</x:v>
      </x:c>
      <x:c r="G68" s="47" t="n">
        <x:f>IF(D68=0,0,ABS(E68/D68))</x:f>
        <x:v>0.5</x:v>
      </x:c>
      <x:c r="H68" s="72"/>
      <x:c r="I68" s="73"/>
      <x:c r="J68" s="73"/>
      <x:c r="K68" s="74"/>
      <x:c r="L68" s="19" t="n">
        <x:v>18915.78</x:v>
      </x:c>
      <x:c r="M68" s="73"/>
      <x:c r="N68" s="73"/>
      <x:c r="O68" s="76"/>
    </x:row>
    <x:row r="69" spans="1:19" hidden="1" outlineLevel="2" collapsed="1" x14ac:dyDescent="0.2">
      <x:c r="B69" s="45" t="inlineStr">
        <x:is>
          <x:t>J500</x:t>
        </x:is>
      </x:c>
      <x:c r="C69" s="46" t="inlineStr">
        <x:is>
          <x:t>Olszewska, Beata</x:t>
        </x:is>
      </x:c>
      <x:c r="D69" s="45" t="n">
        <x:v>2184</x:v>
      </x:c>
      <x:c r="E69" s="19" t="n">
        <x:v>208</x:v>
      </x:c>
      <x:c r="F69" s="19" t="n">
        <x:f>MAX(D69-E69, 0)</x:f>
        <x:v>1</x:v>
      </x:c>
      <x:c r="G69" s="47" t="n">
        <x:f>IF(D69=0,0,ABS(E69/D69))</x:f>
        <x:v>0.5</x:v>
      </x:c>
      <x:c r="H69" s="72"/>
      <x:c r="I69" s="73"/>
      <x:c r="J69" s="73"/>
      <x:c r="K69" s="74"/>
      <x:c r="L69" s="19" t="n">
        <x:v>12877.28</x:v>
      </x:c>
      <x:c r="M69" s="73"/>
      <x:c r="N69" s="73"/>
      <x:c r="O69" s="76"/>
    </x:row>
    <x:row r="70" spans="1:19" hidden="1" outlineLevel="2" collapsed="1" x14ac:dyDescent="0.2">
      <x:c r="B70" s="45" t="inlineStr">
        <x:is>
          <x:t>J500</x:t>
        </x:is>
      </x:c>
      <x:c r="C70" s="46" t="inlineStr">
        <x:is>
          <x:t>Opas, Wojciech</x:t>
        </x:is>
      </x:c>
      <x:c r="D70" s="45" t="n">
        <x:v>279.552</x:v>
      </x:c>
      <x:c r="E70" s="19" t="n">
        <x:v>37.44</x:v>
      </x:c>
      <x:c r="F70" s="19" t="n">
        <x:f>MAX(D70-E70, 0)</x:f>
        <x:v>1</x:v>
      </x:c>
      <x:c r="G70" s="47" t="n">
        <x:f>IF(D70=0,0,ABS(E70/D70))</x:f>
        <x:v>0.5</x:v>
      </x:c>
      <x:c r="H70" s="53"/>
      <x:c r="I70" s="54"/>
      <x:c r="J70" s="54"/>
      <x:c r="K70" s="55"/>
      <x:c r="L70" s="19" t="n">
        <x:v>2555.904</x:v>
      </x:c>
      <x:c r="M70" s="54"/>
      <x:c r="N70" s="54"/>
      <x:c r="O70" s="71"/>
    </x:row>
    <x:row r="71" spans="1:19" outlineLevel="1" x14ac:dyDescent="0.2">
      <x:c r="B71" s="58" t="inlineStr">
        <x:v>49</x:v>
        <x:is>
          <x:t>Total J500</x:t>
        </x:is>
      </x:c>
      <x:c r="C71" s="59"/>
      <x:c r="D71" s="58" t="n">
        <x:v>8491.392</x:v>
      </x:c>
      <x:c r="E71" s="60" t="n">
        <x:v>3864.64</x:v>
      </x:c>
      <x:c r="F71" s="60" t="n">
        <x:f>MAX(D71-E71, 0)</x:f>
        <x:v>1</x:v>
      </x:c>
      <x:c r="G71" s="61" t="n">
        <x:f>IF(D71=0,0,ABS(E71/D71))</x:f>
        <x:v>0.5</x:v>
      </x:c>
      <x:c r="H71" s="58" t="n">
        <x:v>100892.896</x:v>
      </x:c>
      <x:c r="I71" s="60" t="n">
        <x:v>57562.18</x:v>
      </x:c>
      <x:c r="J71" s="62" t="n">
        <x:f>IF(H71=0,"No plan at start",I71/H71)</x:f>
        <x:v>2</x:v>
      </x:c>
      <x:c r="K71" s="60" t="n">
        <x:f>MAX(H71-I71, 0)</x:f>
        <x:v>0</x:v>
      </x:c>
      <x:c r="L71" s="60" t="n">
        <x:v>44482.724</x:v>
      </x:c>
      <x:c r="M71" s="60" t="n">
        <x:f>I71+L71</x:f>
        <x:v>3</x:v>
      </x:c>
      <x:c r="N71" s="60" t="n">
        <x:f>M71-H71</x:f>
        <x:v>2</x:v>
      </x:c>
      <x:c r="O71" s="61" t="n">
        <x:f>IF(H71=0,"No plan at start",M71/H71)</x:f>
        <x:v>3</x:v>
      </x:c>
    </x:row>
    <x:row r="72" spans="1:19" hidden="1" outlineLevel="2" collapsed="1" x14ac:dyDescent="0.2">
      <x:c r="B72" s="45" t="inlineStr">
        <x:is>
          <x:t>K358</x:t>
        </x:is>
      </x:c>
      <x:c r="C72" s="46" t="inlineStr">
        <x:is>
          <x:t>Bloch, Wlodzimierz</x:t>
        </x:is>
      </x:c>
      <x:c r="D72" s="45" t="n">
        <x:v>0</x:v>
      </x:c>
      <x:c r="E72" s="19" t="n">
        <x:v>218.4</x:v>
      </x:c>
      <x:c r="F72" s="19" t="n">
        <x:f>MAX(D72-E72, 0)</x:f>
        <x:v>1</x:v>
      </x:c>
      <x:c r="G72" s="47" t="n">
        <x:f>IF(D72=0,0,ABS(E72/D72))</x:f>
        <x:v>0.5</x:v>
      </x:c>
      <x:c r="H72" s="52"/>
      <x:c r="I72" s="50"/>
      <x:c r="J72" s="50"/>
      <x:c r="K72" s="51"/>
      <x:c r="L72" s="19" t="n">
        <x:v>0</x:v>
      </x:c>
      <x:c r="M72" s="50"/>
      <x:c r="N72" s="50"/>
      <x:c r="O72" s="70"/>
    </x:row>
    <x:row r="73" spans="1:19" outlineLevel="1" x14ac:dyDescent="0.2">
      <x:c r="B73" s="58" t="inlineStr">
        <x:v>49</x:v>
        <x:is>
          <x:t>Total K358</x:t>
        </x:is>
      </x:c>
      <x:c r="C73" s="59"/>
      <x:c r="D73" s="58" t="n">
        <x:v>0</x:v>
      </x:c>
      <x:c r="E73" s="60" t="n">
        <x:v>218.4</x:v>
      </x:c>
      <x:c r="F73" s="60" t="n">
        <x:f>MAX(D73-E73, 0)</x:f>
        <x:v>1</x:v>
      </x:c>
      <x:c r="G73" s="61" t="n">
        <x:f>IF(D73=0,0,ABS(E73/D73))</x:f>
        <x:v>0.5</x:v>
      </x:c>
      <x:c r="H73" s="58" t="n">
        <x:v>0</x:v>
      </x:c>
      <x:c r="I73" s="60" t="n">
        <x:v>967.2</x:v>
      </x:c>
      <x:c r="J73" s="62" t="n">
        <x:f>IF(H73=0,"No plan at start",I73/H73)</x:f>
        <x:v>2</x:v>
      </x:c>
      <x:c r="K73" s="60" t="n">
        <x:f>MAX(H73-I73, 0)</x:f>
        <x:v>0</x:v>
      </x:c>
      <x:c r="L73" s="60" t="n">
        <x:v>0</x:v>
      </x:c>
      <x:c r="M73" s="60" t="n">
        <x:f>I73+L73</x:f>
        <x:v>3</x:v>
      </x:c>
      <x:c r="N73" s="60" t="n">
        <x:f>M73-H73</x:f>
        <x:v>2</x:v>
      </x:c>
      <x:c r="O73" s="61" t="n">
        <x:f>IF(H73=0,"No plan at start",M73/H73)</x:f>
        <x:v>3</x:v>
      </x:c>
    </x:row>
    <x:row r="74" spans="1:19" hidden="1" outlineLevel="2" collapsed="1" x14ac:dyDescent="0.2">
      <x:c r="B74" s="45" t="inlineStr">
        <x:is>
          <x:t>N386</x:t>
        </x:is>
      </x:c>
      <x:c r="C74" s="46" t="inlineStr">
        <x:is>
          <x:t>Bloch, Wlodzimierz</x:t>
        </x:is>
      </x:c>
      <x:c r="D74" s="45" t="n">
        <x:v>1198.08</x:v>
      </x:c>
      <x:c r="E74" s="19" t="n">
        <x:v>0</x:v>
      </x:c>
      <x:c r="F74" s="19" t="n">
        <x:f>MAX(D74-E74, 0)</x:f>
        <x:v>1</x:v>
      </x:c>
      <x:c r="G74" s="47" t="n">
        <x:f>IF(D74=0,0,ABS(E74/D74))</x:f>
        <x:v>0.5</x:v>
      </x:c>
      <x:c r="H74" s="52"/>
      <x:c r="I74" s="50"/>
      <x:c r="J74" s="50"/>
      <x:c r="K74" s="51"/>
      <x:c r="L74" s="19" t="n">
        <x:v>2558.4</x:v>
      </x:c>
      <x:c r="M74" s="50"/>
      <x:c r="N74" s="50"/>
      <x:c r="O74" s="70"/>
    </x:row>
    <x:row r="75" spans="1:19" outlineLevel="1" x14ac:dyDescent="0.2">
      <x:c r="B75" s="58" t="inlineStr">
        <x:v>49</x:v>
        <x:is>
          <x:t>Total N386</x:t>
        </x:is>
      </x:c>
      <x:c r="C75" s="59"/>
      <x:c r="D75" s="58" t="n">
        <x:v>1198.08</x:v>
      </x:c>
      <x:c r="E75" s="60" t="n">
        <x:v>0</x:v>
      </x:c>
      <x:c r="F75" s="60" t="n">
        <x:f>MAX(D75-E75, 0)</x:f>
        <x:v>1</x:v>
      </x:c>
      <x:c r="G75" s="61" t="n">
        <x:f>IF(D75=0,0,ABS(E75/D75))</x:f>
        <x:v>0.5</x:v>
      </x:c>
      <x:c r="H75" s="58" t="n">
        <x:v>2147.6</x:v>
      </x:c>
      <x:c r="I75" s="60" t="n">
        <x:v>249.6</x:v>
      </x:c>
      <x:c r="J75" s="62" t="n">
        <x:f>IF(H75=0,"No plan at start",I75/H75)</x:f>
        <x:v>2</x:v>
      </x:c>
      <x:c r="K75" s="60" t="n">
        <x:f>MAX(H75-I75, 0)</x:f>
        <x:v>0</x:v>
      </x:c>
      <x:c r="L75" s="60" t="n">
        <x:v>2558.4</x:v>
      </x:c>
      <x:c r="M75" s="60" t="n">
        <x:f>I75+L75</x:f>
        <x:v>3</x:v>
      </x:c>
      <x:c r="N75" s="60" t="n">
        <x:f>M75-H75</x:f>
        <x:v>2</x:v>
      </x:c>
      <x:c r="O75" s="61" t="n">
        <x:f>IF(H75=0,"No plan at start",M75/H75)</x:f>
        <x:v>3</x:v>
      </x:c>
    </x:row>
    <x:row r="76" spans="1:19" hidden="1" outlineLevel="2" collapsed="1" x14ac:dyDescent="0.2">
      <x:c r="B76" s="45" t="inlineStr">
        <x:is>
          <x:t>N707</x:t>
        </x:is>
      </x:c>
      <x:c r="C76" s="46" t="inlineStr">
        <x:is>
          <x:t>Bloch, Wlodzimierz</x:t>
        </x:is>
      </x:c>
      <x:c r="D76" s="45" t="n">
        <x:v>0</x:v>
      </x:c>
      <x:c r="E76" s="19" t="n">
        <x:v>249.6</x:v>
      </x:c>
      <x:c r="F76" s="19" t="n">
        <x:f>MAX(D76-E76, 0)</x:f>
        <x:v>1</x:v>
      </x:c>
      <x:c r="G76" s="47" t="n">
        <x:f>IF(D76=0,0,ABS(E76/D76))</x:f>
        <x:v>0.5</x:v>
      </x:c>
      <x:c r="H76" s="52"/>
      <x:c r="I76" s="50"/>
      <x:c r="J76" s="50"/>
      <x:c r="K76" s="51"/>
      <x:c r="L76" s="19" t="n">
        <x:v>0</x:v>
      </x:c>
      <x:c r="M76" s="50"/>
      <x:c r="N76" s="50"/>
      <x:c r="O76" s="70"/>
    </x:row>
    <x:row r="77" spans="1:19" ht="13.5" outlineLevel="1" thickBot="1" x14ac:dyDescent="0.25">
      <x:c r="B77" s="63" t="inlineStr">
        <x:v>49</x:v>
        <x:is>
          <x:t>Total N707</x:t>
        </x:is>
      </x:c>
      <x:c r="C77" s="64"/>
      <x:c r="D77" s="63" t="n">
        <x:v>0</x:v>
      </x:c>
      <x:c r="E77" s="65" t="n">
        <x:v>249.6</x:v>
      </x:c>
      <x:c r="F77" s="65" t="n">
        <x:f>MAX(D77-E77, 0)</x:f>
        <x:v>0</x:v>
      </x:c>
      <x:c r="G77" s="66" t="n">
        <x:f>IF(D77=0,0,ABS(E77/D77))</x:f>
        <x:v>4</x:v>
      </x:c>
      <x:c r="H77" s="63" t="n">
        <x:v>0</x:v>
      </x:c>
      <x:c r="I77" s="65" t="n">
        <x:v>844.48</x:v>
      </x:c>
      <x:c r="J77" s="67" t="n">
        <x:f>IF(H77=0,"No plan at start",I77/H77)</x:f>
        <x:v>0.5</x:v>
      </x:c>
      <x:c r="K77" s="65" t="n">
        <x:f>MAX(H77-I77, 0)</x:f>
        <x:v>1</x:v>
      </x:c>
      <x:c r="L77" s="65" t="n">
        <x:v>0</x:v>
      </x:c>
      <x:c r="M77" s="65" t="n">
        <x:f>I77+L77</x:f>
        <x:v>6</x:v>
      </x:c>
      <x:c r="N77" s="65" t="n">
        <x:f>M77-H77</x:f>
        <x:v>4</x:v>
      </x:c>
      <x:c r="O77" s="66" t="n">
        <x:f>IF(H77=0,"No plan at start",M77/H77)</x:f>
        <x:v>3</x:v>
      </x:c>
    </x:row>
    <x:row r="78" x14ac:dyDescent="0.2"/>
  </x:sheetData>
  <x:mergeCells count="9">
    <x:mergeCell ref="B2:C2"/>
    <x:mergeCell ref="F2:G2"/>
    <x:mergeCell ref="F4:G4"/>
    <x:mergeCell ref="F5:O7"/>
    <x:mergeCell ref="F8:M9"/>
    <x:mergeCell ref="D14:G14"/>
    <x:mergeCell ref="H14:O14"/>
    <x:mergeCell ref="D48:G48"/>
    <x:mergeCell ref="H48:O48"/>
  </x:mergeCells>
  <x:conditionalFormatting sqref="F17:F43 F51:F77">
    <x:cfRule type="cellIs" dxfId="11" priority="5" operator="greaterThan">
      <x:formula>0</x:formula>
    </x:cfRule>
    <x:cfRule type="cellIs" dxfId="10" priority="6" operator="lessThanOrEqual">
      <x:formula>0</x:formula>
    </x:cfRule>
  </x:conditionalFormatting>
  <x:conditionalFormatting sqref="N21 N23 N26 N32 N37 N39 N41 N43 N55 N57 N60 N66 N71 N73 N75 N77">
    <x:cfRule type="cellIs" dxfId="9" priority="4" operator="greaterThan">
      <x:formula>0</x:formula>
    </x:cfRule>
    <x:cfRule type="cellIs" dxfId="8" priority="3" operator="lessThanOrEqual">
      <x:formula>0</x:formula>
    </x:cfRule>
  </x:conditionalFormatting>
  <x:conditionalFormatting sqref="K21 K23 K26 K32 K37 K39 K41 K43 K55 K57 K60 K66 K71 K73 K75 K77">
    <x:cfRule type="cellIs" dxfId="7" priority="2" operator="greaterThan">
      <x:formula>0</x:formula>
    </x:cfRule>
    <x:cfRule type="cellIs" dxfId="6" priority="1"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2017-07-12T17:56:21Z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K:\XX02\Monitoring PMT\Raporty kierownicy pionow\1-30.06.2017</vt:lpwstr>
  </op:property>
</op:Properties>
</file>