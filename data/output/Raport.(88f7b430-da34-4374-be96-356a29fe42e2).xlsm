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<sst xmlns="http://schemas.openxmlformats.org/spreadsheetml/2006/main" count="79" uniqueCount="50">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</sst>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Engineers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Katarzyna Witan</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Fraczyk, Paulina</x:t>
        </x:is>
      </x:c>
      <x:c r="D17" s="45" t="n">
        <x:v>0</x:v>
      </x:c>
      <x:c r="E17" s="19" t="n">
        <x:v>0</x:v>
      </x:c>
      <x:c r="F17" s="19" t="n">
        <x:f>MAX(D17-E17, 0)</x:f>
        <x:v>1</x:v>
      </x:c>
      <x:c r="G17" s="47" t="n">
        <x:f>IF(D17=0,0,ABS(E17/D17))</x:f>
        <x:v>0.5</x:v>
      </x:c>
      <x:c r="H17" s="52"/>
      <x:c r="I17" s="50"/>
      <x:c r="J17" s="50"/>
      <x:c r="K17" s="51"/>
      <x:c r="L17" s="19" t="n">
        <x:v>40.12</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3170.25</x:v>
      </x:c>
      <x:c r="J18" s="62" t="n">
        <x:f>IF(H18=0,"No plan at start",I18/H18)</x:f>
        <x:v>2</x:v>
      </x:c>
      <x:c r="K18" s="60" t="n">
        <x:f>MAX(H18-I18, 0)</x:f>
        <x:v>0</x:v>
      </x:c>
      <x:c r="L18" s="60" t="n">
        <x:v>40.12</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Fraczyk, Paulina</x:t>
        </x:is>
      </x:c>
      <x:c r="D19" s="45" t="n">
        <x:v>33.6</x:v>
      </x:c>
      <x:c r="E19" s="19" t="n">
        <x:v>8</x:v>
      </x:c>
      <x:c r="F19" s="19" t="n">
        <x:f>MAX(D19-E19, 0)</x:f>
        <x:v>1</x:v>
      </x:c>
      <x:c r="G19" s="47" t="n">
        <x:f>IF(D19=0,0,ABS(E19/D19))</x:f>
        <x:v>0.5</x:v>
      </x:c>
      <x:c r="H19" s="52"/>
      <x:c r="I19" s="50"/>
      <x:c r="J19" s="50"/>
      <x:c r="K19" s="51"/>
      <x:c r="L19" s="19" t="n">
        <x:v>384.4</x:v>
      </x:c>
      <x:c r="M19" s="56"/>
      <x:c r="N19" s="50"/>
      <x:c r="O19" s="70"/>
      <x:c r="P19" s="29"/>
      <x:c r="Q19" s="30"/>
      <x:c r="R19" s="31"/>
      <x:c r="S19" s="31"/>
    </x:row>
    <x:row r="20" spans="1:19" s="7" customFormat="1" hidden="1" outlineLevel="2" collapsed="1" x14ac:dyDescent="0.2">
      <x:c r="A20" s="5"/>
      <x:c r="B20" s="45" t="inlineStr">
        <x:is>
          <x:t>E872</x:t>
        </x:is>
      </x:c>
      <x:c r="C20" s="46" t="inlineStr">
        <x:is>
          <x:t>Karp, Robert</x:t>
        </x:is>
      </x:c>
      <x:c r="D20" s="45" t="n">
        <x:v>16.8</x:v>
      </x:c>
      <x:c r="E20" s="19" t="n">
        <x:v>0</x:v>
      </x:c>
      <x:c r="F20" s="19" t="n">
        <x:f>MAX(D20-E20, 0)</x:f>
        <x:v>1</x:v>
      </x:c>
      <x:c r="G20" s="47" t="n">
        <x:f>IF(D20=0,0,ABS(E20/D20))</x:f>
        <x:v>0.5</x:v>
      </x:c>
      <x:c r="H20" s="72"/>
      <x:c r="I20" s="73"/>
      <x:c r="J20" s="73"/>
      <x:c r="K20" s="74"/>
      <x:c r="L20" s="19" t="n">
        <x:v>260.32</x:v>
      </x:c>
      <x:c r="M20" s="75"/>
      <x:c r="N20" s="73"/>
      <x:c r="O20" s="76"/>
      <x:c r="P20" s="29"/>
      <x:c r="Q20" s="30"/>
      <x:c r="R20" s="31"/>
      <x:c r="S20" s="31"/>
    </x:row>
    <x:row r="21" spans="1:19" s="7" customFormat="1" hidden="1" outlineLevel="2" collapsed="1" x14ac:dyDescent="0.2">
      <x:c r="A21" s="5"/>
      <x:c r="B21" s="45" t="inlineStr">
        <x:is>
          <x:t>E872</x:t>
        </x:is>
      </x:c>
      <x:c r="C21" s="46" t="inlineStr">
        <x:is>
          <x:t>Pietkiewicz, Piotr</x:t>
        </x:is>
      </x:c>
      <x:c r="D21" s="45" t="n">
        <x:v>100.8</x:v>
      </x:c>
      <x:c r="E21" s="19" t="n">
        <x:v>77.75</x:v>
      </x:c>
      <x:c r="F21" s="19" t="n">
        <x:f>MAX(D21-E21, 0)</x:f>
        <x:v>1</x:v>
      </x:c>
      <x:c r="G21" s="47" t="n">
        <x:f>IF(D21=0,0,ABS(E21/D21))</x:f>
        <x:v>0.5</x:v>
      </x:c>
      <x:c r="H21" s="72"/>
      <x:c r="I21" s="73"/>
      <x:c r="J21" s="73"/>
      <x:c r="K21" s="74"/>
      <x:c r="L21" s="19" t="n">
        <x:v>371.2</x:v>
      </x:c>
      <x:c r="M21" s="75"/>
      <x:c r="N21" s="73"/>
      <x:c r="O21" s="76"/>
      <x:c r="P21" s="29"/>
      <x:c r="Q21" s="30"/>
      <x:c r="R21" s="31"/>
      <x:c r="S21" s="31"/>
    </x:row>
    <x:row r="22" spans="1:19" s="7" customFormat="1" hidden="1" outlineLevel="2" collapsed="1" x14ac:dyDescent="0.2">
      <x:c r="A22" s="5"/>
      <x:c r="B22" s="45" t="inlineStr">
        <x:is>
          <x:t>E872</x:t>
        </x:is>
      </x:c>
      <x:c r="C22" s="46" t="inlineStr">
        <x:is>
          <x:t>Szczepanski, Marcin</x:t>
        </x:is>
      </x:c>
      <x:c r="D22" s="45" t="n">
        <x:v>134.4</x:v>
      </x:c>
      <x:c r="E22" s="19" t="n">
        <x:v>67.0</x:v>
      </x:c>
      <x:c r="F22" s="19" t="n">
        <x:f>MAX(D22-E22, 0)</x:f>
        <x:v>1</x:v>
      </x:c>
      <x:c r="G22" s="47" t="n">
        <x:f>IF(D22=0,0,ABS(E22/D22))</x:f>
        <x:v>0.5</x:v>
      </x:c>
      <x:c r="H22" s="72"/>
      <x:c r="I22" s="73"/>
      <x:c r="J22" s="73"/>
      <x:c r="K22" s="74"/>
      <x:c r="L22" s="19" t="n">
        <x:v>1925.2</x:v>
      </x:c>
      <x:c r="M22" s="75"/>
      <x:c r="N22" s="73"/>
      <x:c r="O22" s="76"/>
      <x:c r="P22" s="29"/>
      <x:c r="Q22" s="30"/>
      <x:c r="R22" s="31"/>
      <x:c r="S22" s="31"/>
    </x:row>
    <x:row r="23" spans="1:19" s="7" customFormat="1" hidden="1" outlineLevel="2" collapsed="1" x14ac:dyDescent="0.2">
      <x:c r="A23" s="5"/>
      <x:c r="B23" s="45" t="inlineStr">
        <x:is>
          <x:t>E872</x:t>
        </x:is>
      </x:c>
      <x:c r="C23" s="46" t="inlineStr">
        <x:is>
          <x:t>Zochowski, Rafal</x:t>
        </x:is>
      </x:c>
      <x:c r="D23" s="45" t="n">
        <x:v>159.6</x:v>
      </x:c>
      <x:c r="E23" s="19" t="n">
        <x:v>77.00</x:v>
      </x:c>
      <x:c r="F23" s="19" t="n">
        <x:f>MAX(D23-E23, 0)</x:f>
        <x:v>1</x:v>
      </x:c>
      <x:c r="G23" s="47" t="n">
        <x:f>IF(D23=0,0,ABS(E23/D23))</x:f>
        <x:v>0.5</x:v>
      </x:c>
      <x:c r="H23" s="72"/>
      <x:c r="I23" s="73"/>
      <x:c r="J23" s="73"/>
      <x:c r="K23" s="74"/>
      <x:c r="L23" s="19" t="n">
        <x:v>1862.8</x:v>
      </x:c>
      <x:c r="M23" s="57"/>
      <x:c r="N23" s="54"/>
      <x:c r="O23" s="71"/>
      <x:c r="P23" s="29"/>
      <x:c r="Q23" s="30"/>
      <x:c r="R23" s="31"/>
      <x:c r="S23" s="31"/>
    </x:row>
    <x:row r="24" spans="1:19" s="7" customFormat="1" outlineLevel="1" x14ac:dyDescent="0.2">
      <x:c r="A24" s="5"/>
      <x:c r="B24" s="58" t="inlineStr">
        <x:v>49</x:v>
        <x:is>
          <x:t>Total E872</x:t>
        </x:is>
      </x:c>
      <x:c r="C24" s="59"/>
      <x:c r="D24" s="58" t="n">
        <x:v>445.2</x:v>
      </x:c>
      <x:c r="E24" s="60" t="n">
        <x:v>229.75</x:v>
      </x:c>
      <x:c r="F24" s="60" t="n">
        <x:f>MAX(D24-E24, 0)</x:f>
        <x:v>1</x:v>
      </x:c>
      <x:c r="G24" s="61" t="n">
        <x:f>IF(D24=0,0,ABS(E24/D24))</x:f>
        <x:v>0.5</x:v>
      </x:c>
      <x:c r="H24" s="58" t="n">
        <x:v>0</x:v>
      </x:c>
      <x:c r="I24" s="60" t="n">
        <x:v>8008.00</x:v>
      </x:c>
      <x:c r="J24" s="62" t="n">
        <x:f>IF(H24=0,"No plan at start",I24/H24)</x:f>
        <x:v>2</x:v>
      </x:c>
      <x:c r="K24" s="60" t="n">
        <x:f>MAX(H24-I24, 0)</x:f>
        <x:v>0</x:v>
      </x:c>
      <x:c r="L24" s="60" t="n">
        <x:v>4803.92</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F808</x:t>
        </x:is>
      </x:c>
      <x:c r="C25" s="46" t="inlineStr">
        <x:is>
          <x:t>Karp, Robert</x:t>
        </x:is>
      </x:c>
      <x:c r="D25" s="45" t="n">
        <x:v>168</x:v>
      </x:c>
      <x:c r="E25" s="19" t="n">
        <x:v>63.25</x:v>
      </x:c>
      <x:c r="F25" s="19" t="n">
        <x:f>MAX(D25-E25, 0)</x:f>
        <x:v>1</x:v>
      </x:c>
      <x:c r="G25" s="47" t="n">
        <x:f>IF(D25=0,0,ABS(E25/D25))</x:f>
        <x:v>0.5</x:v>
      </x:c>
      <x:c r="H25" s="52"/>
      <x:c r="I25" s="50"/>
      <x:c r="J25" s="50"/>
      <x:c r="K25" s="51"/>
      <x:c r="L25" s="19" t="n">
        <x:v>752.8</x:v>
      </x:c>
      <x:c r="M25" s="56"/>
      <x:c r="N25" s="50"/>
      <x:c r="O25" s="70"/>
      <x:c r="P25" s="29"/>
      <x:c r="Q25" s="30"/>
      <x:c r="R25" s="31"/>
      <x:c r="S25" s="31"/>
    </x:row>
    <x:row r="26" spans="1:19" s="7" customFormat="1" outlineLevel="1" x14ac:dyDescent="0.2">
      <x:c r="A26" s="5"/>
      <x:c r="B26" s="58" t="inlineStr">
        <x:v>49</x:v>
        <x:is>
          <x:t>Total F808</x:t>
        </x:is>
      </x:c>
      <x:c r="C26" s="59"/>
      <x:c r="D26" s="58" t="n">
        <x:v>168</x:v>
      </x:c>
      <x:c r="E26" s="60" t="n">
        <x:v>63.25</x:v>
      </x:c>
      <x:c r="F26" s="60" t="n">
        <x:f>MAX(D26-E26, 0)</x:f>
        <x:v>1</x:v>
      </x:c>
      <x:c r="G26" s="61" t="n">
        <x:f>IF(D26=0,0,ABS(E26/D26))</x:f>
        <x:v>0.5</x:v>
      </x:c>
      <x:c r="H26" s="58" t="n">
        <x:v>0</x:v>
      </x:c>
      <x:c r="I26" s="60" t="n">
        <x:v>5029.25</x:v>
      </x:c>
      <x:c r="J26" s="62" t="n">
        <x:f>IF(H26=0,"No plan at start",I26/H26)</x:f>
        <x:v>2</x:v>
      </x:c>
      <x:c r="K26" s="60" t="n">
        <x:f>MAX(H26-I26, 0)</x:f>
        <x:v>0</x:v>
      </x:c>
      <x:c r="L26" s="60" t="n">
        <x:v>752.8</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G429</x:t>
        </x:is>
      </x:c>
      <x:c r="C27" s="46" t="inlineStr">
        <x:is>
          <x:t>Szczepanski, Marcin</x:t>
        </x:is>
      </x:c>
      <x:c r="D27" s="45" t="n">
        <x:v>4</x:v>
      </x:c>
      <x:c r="E27" s="19" t="n">
        <x:v>0</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outlineLevel="1" x14ac:dyDescent="0.2">
      <x:c r="A28" s="5"/>
      <x:c r="B28" s="58" t="inlineStr">
        <x:v>49</x:v>
        <x:is>
          <x:t>Total G429</x:t>
        </x:is>
      </x:c>
      <x:c r="C28" s="59"/>
      <x:c r="D28" s="58" t="n">
        <x:v>4</x:v>
      </x:c>
      <x:c r="E28" s="60" t="n">
        <x:v>0</x:v>
      </x:c>
      <x:c r="F28" s="60" t="n">
        <x:f>MAX(D28-E28, 0)</x:f>
        <x:v>1</x:v>
      </x:c>
      <x:c r="G28" s="61" t="n">
        <x:f>IF(D28=0,0,ABS(E28/D28))</x:f>
        <x:v>0.5</x:v>
      </x:c>
      <x:c r="H28" s="58" t="n">
        <x:v>0</x:v>
      </x:c>
      <x:c r="I28" s="60" t="n">
        <x:v>3562.25</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J500</x:t>
        </x:is>
      </x:c>
      <x:c r="C29" s="46" t="inlineStr">
        <x:is>
          <x:t>Witan (Stroczkowska), Katarzyna</x:t>
        </x:is>
      </x:c>
      <x:c r="D29" s="45" t="n">
        <x:v>76.8</x:v>
      </x:c>
      <x:c r="E29" s="19" t="n">
        <x:v>79</x:v>
      </x:c>
      <x:c r="F29" s="19" t="n">
        <x:f>MAX(D29-E29, 0)</x:f>
        <x:v>1</x:v>
      </x:c>
      <x:c r="G29" s="47" t="n">
        <x:f>IF(D29=0,0,ABS(E29/D29))</x:f>
        <x:v>0.5</x:v>
      </x:c>
      <x:c r="H29" s="52"/>
      <x:c r="I29" s="50"/>
      <x:c r="J29" s="50"/>
      <x:c r="K29" s="51"/>
      <x:c r="L29" s="19" t="n">
        <x:v>659.6</x:v>
      </x:c>
      <x:c r="M29" s="56"/>
      <x:c r="N29" s="50"/>
      <x:c r="O29" s="70"/>
      <x:c r="P29" s="29"/>
      <x:c r="Q29" s="30"/>
      <x:c r="R29" s="31"/>
      <x:c r="S29" s="31"/>
    </x:row>
    <x:row r="30" spans="1:19" s="7" customFormat="1" outlineLevel="1" x14ac:dyDescent="0.2">
      <x:c r="A30" s="5"/>
      <x:c r="B30" s="58" t="inlineStr">
        <x:v>49</x:v>
        <x:is>
          <x:t>Total J500</x:t>
        </x:is>
      </x:c>
      <x:c r="C30" s="59"/>
      <x:c r="D30" s="58" t="n">
        <x:v>76.8</x:v>
      </x:c>
      <x:c r="E30" s="60" t="n">
        <x:v>79</x:v>
      </x:c>
      <x:c r="F30" s="60" t="n">
        <x:f>MAX(D30-E30, 0)</x:f>
        <x:v>1</x:v>
      </x:c>
      <x:c r="G30" s="61" t="n">
        <x:f>IF(D30=0,0,ABS(E30/D30))</x:f>
        <x:v>0.5</x:v>
      </x:c>
      <x:c r="H30" s="58" t="n">
        <x:v>1728.2</x:v>
      </x:c>
      <x:c r="I30" s="60" t="n">
        <x:v>1069.50</x:v>
      </x:c>
      <x:c r="J30" s="62" t="n">
        <x:f>IF(H30=0,"No plan at start",I30/H30)</x:f>
        <x:v>2</x:v>
      </x:c>
      <x:c r="K30" s="60" t="n">
        <x:f>MAX(H30-I30, 0)</x:f>
        <x:v>0</x:v>
      </x:c>
      <x:c r="L30" s="60" t="n">
        <x:v>659.6</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K358</x:t>
        </x:is>
      </x:c>
      <x:c r="C31" s="46" t="inlineStr">
        <x:is>
          <x:t>Fraczyk, Paulina</x:t>
        </x:is>
      </x:c>
      <x:c r="D31" s="45" t="n">
        <x:v>0</x:v>
      </x:c>
      <x:c r="E31" s="19" t="n">
        <x:v>72</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ht="13.5" outlineLevel="1" thickBot="1" x14ac:dyDescent="0.25">
      <x:c r="A32" s="5"/>
      <x:c r="B32" s="63" t="inlineStr">
        <x:v>49</x:v>
        <x:is>
          <x:t>Total K358</x:t>
        </x:is>
      </x:c>
      <x:c r="C32" s="64"/>
      <x:c r="D32" s="63" t="n">
        <x:v>0</x:v>
      </x:c>
      <x:c r="E32" s="65" t="n">
        <x:v>72</x:v>
      </x:c>
      <x:c r="F32" s="65" t="n">
        <x:f>MAX(D32-E32, 0)</x:f>
        <x:v>0</x:v>
      </x:c>
      <x:c r="G32" s="66" t="n">
        <x:f>IF(D32=0,0,ABS(E32/D32))</x:f>
        <x:v>0</x:v>
      </x:c>
      <x:c r="H32" s="63" t="n">
        <x:v>0</x:v>
      </x:c>
      <x:c r="I32" s="65" t="n">
        <x:v>379.25</x:v>
      </x:c>
      <x:c r="J32" s="67" t="n">
        <x:f>IF(H32=0,"No plan at start",I32/H32)</x:f>
        <x:v>0.5</x:v>
      </x:c>
      <x:c r="K32" s="65" t="n">
        <x:f>MAX(H32-I32, 0)</x:f>
        <x:v>1</x:v>
      </x:c>
      <x:c r="L32" s="65" t="n">
        <x:v>0</x:v>
      </x:c>
      <x:c r="M32" s="65" t="n">
        <x:f>I32+L32</x:f>
        <x:v>6</x:v>
      </x:c>
      <x:c r="N32" s="65" t="n">
        <x:f>M32-H32</x:f>
        <x:v>4</x:v>
      </x:c>
      <x:c r="O32" s="66" t="n">
        <x:f>IF(H32=0,"No plan at start",M32/H32)</x:f>
        <x:v>3</x:v>
      </x:c>
      <x:c r="P32" s="29"/>
      <x:c r="Q32" s="30"/>
      <x:c r="R32" s="31"/>
      <x:c r="S32" s="31"/>
    </x:row>
    <x:row r="33" x14ac:dyDescent="0.2"/>
    <x:row r="34" x14ac:dyDescent="0.2"/>
    <x:row r="35" spans="1:19" x14ac:dyDescent="0.2">
      <x:c r="B35" s="14" t="s">
        <x:v>30</x:v>
      </x:c>
      <x:c r="C35" s="15"/>
      <x:c r="D35" s="15"/>
      <x:c r="E35" s="15"/>
      <x:c r="F35" s="16"/>
      <x:c r="G35" s="16"/>
      <x:c r="H35" s="17"/>
      <x:c r="I35" s="7"/>
      <x:c r="J35" s="7"/>
      <x:c r="K35" s="18"/>
      <x:c r="L35" s="7"/>
      <x:c r="M35" s="25"/>
      <x:c r="N35" s="7"/>
      <x:c r="O35" s="7"/>
    </x:row>
    <x:row r="36" spans="1:19" ht="13.5" thickBot="1" x14ac:dyDescent="0.25">
      <x:c r="B36" s="7"/>
      <x:c r="C36" s="7"/>
      <x:c r="D36" s="7"/>
      <x:c r="E36" s="7"/>
      <x:c r="F36" s="7"/>
      <x:c r="G36" s="7"/>
      <x:c r="H36" s="7"/>
      <x:c r="I36" s="7"/>
      <x:c r="J36" s="7"/>
      <x:c r="K36" s="7"/>
      <x:c r="L36" s="7"/>
      <x:c r="M36" s="7"/>
      <x:c r="N36" s="7"/>
      <x:c r="O36" s="7"/>
    </x:row>
    <x:row r="37" spans="1:19" x14ac:dyDescent="0.2">
      <x:c r="B37" s="48"/>
      <x:c r="C37" s="49"/>
      <x:c r="D37" s="77" t="s">
        <x:v>39</x:v>
      </x:c>
      <x:c r="E37" s="78"/>
      <x:c r="F37" s="78"/>
      <x:c r="G37" s="79"/>
      <x:c r="H37" s="77" t="s">
        <x:v>40</x:v>
      </x:c>
      <x:c r="I37" s="78"/>
      <x:c r="J37" s="78"/>
      <x:c r="K37" s="78"/>
      <x:c r="L37" s="78"/>
      <x:c r="M37" s="78"/>
      <x:c r="N37" s="78"/>
      <x:c r="O37" s="79"/>
    </x:row>
    <x:row r="38" spans="1:19" x14ac:dyDescent="0.2">
      <x:c r="B38" s="68"/>
      <x:c r="C38" s="69"/>
      <x:c r="D38" s="36" t="s">
        <x:v>2</x:v>
      </x:c>
      <x:c r="E38" s="38" t="s">
        <x:v>3</x:v>
      </x:c>
      <x:c r="F38" s="38" t="s">
        <x:v>44</x:v>
      </x:c>
      <x:c r="G38" s="37" t="s">
        <x:v>41</x:v>
      </x:c>
      <x:c r="H38" s="36" t="s">
        <x:v>20</x:v>
      </x:c>
      <x:c r="I38" s="38" t="s">
        <x:v>34</x:v>
      </x:c>
      <x:c r="J38" s="39" t="s">
        <x:v>35</x:v>
      </x:c>
      <x:c r="K38" s="39" t="s">
        <x:v>36</x:v>
      </x:c>
      <x:c r="L38" s="38" t="s">
        <x:v>19</x:v>
      </x:c>
      <x:c r="M38" s="38" t="s">
        <x:v>37</x:v>
      </x:c>
      <x:c r="N38" s="38" t="s">
        <x:v>22</x:v>
      </x:c>
      <x:c r="O38" s="37" t="s">
        <x:v>23</x:v>
      </x:c>
    </x:row>
    <x:row r="39" spans="1:19" ht="76.5" x14ac:dyDescent="0.2">
      <x:c r="B39" s="40" t="s">
        <x:v>14</x:v>
      </x:c>
      <x:c r="C39" s="41" t="s">
        <x:v>28</x:v>
      </x:c>
      <x:c r="D39" s="40" t="s">
        <x:v>45</x:v>
      </x:c>
      <x:c r="E39" s="42" t="s">
        <x:v>15</x:v>
      </x:c>
      <x:c r="F39" s="42" t="s">
        <x:v>42</x:v>
      </x:c>
      <x:c r="G39" s="41" t="s">
        <x:v>43</x:v>
      </x:c>
      <x:c r="H39" s="40" t="s">
        <x:v>46</x:v>
      </x:c>
      <x:c r="I39" s="42" t="s">
        <x:v>31</x:v>
      </x:c>
      <x:c r="J39" s="43" t="s">
        <x:v>47</x:v>
      </x:c>
      <x:c r="K39" s="43" t="s">
        <x:v>17</x:v>
      </x:c>
      <x:c r="L39" s="42" t="s">
        <x:v>48</x:v>
      </x:c>
      <x:c r="M39" s="42" t="s">
        <x:v>32</x:v>
      </x:c>
      <x:c r="N39" s="42" t="s">
        <x:v>33</x:v>
      </x:c>
      <x:c r="O39" s="41" t="s">
        <x:v>24</x:v>
      </x:c>
    </x:row>
    <x:row r="40" spans="1:19" hidden="1" outlineLevel="2" collapsed="1" x14ac:dyDescent="0.2">
      <x:c r="B40" s="45" t="inlineStr">
        <x:is>
          <x:t>D198</x:t>
        </x:is>
      </x:c>
      <x:c r="C40" s="46" t="inlineStr">
        <x:is>
          <x:t>Fraczyk, Paulina</x:t>
        </x:is>
      </x:c>
      <x:c r="D40" s="45" t="n">
        <x:v>0</x:v>
      </x:c>
      <x:c r="E40" s="19" t="n">
        <x:v>0</x:v>
      </x:c>
      <x:c r="F40" s="19" t="n">
        <x:f>MAX(D40-E40, 0)</x:f>
        <x:v>1</x:v>
      </x:c>
      <x:c r="G40" s="47" t="n">
        <x:f>IF(D40=0,0,ABS(E40/D40))</x:f>
        <x:v>0.5</x:v>
      </x:c>
      <x:c r="H40" s="52"/>
      <x:c r="I40" s="50"/>
      <x:c r="J40" s="50"/>
      <x:c r="K40" s="51"/>
      <x:c r="L40" s="19" t="n">
        <x:v>1043.12</x:v>
      </x:c>
      <x:c r="M40" s="50"/>
      <x:c r="N40" s="50"/>
      <x:c r="O40" s="70"/>
    </x:row>
    <x:row r="41" spans="1:19" outlineLevel="1" x14ac:dyDescent="0.2">
      <x:c r="B41" s="58" t="inlineStr">
        <x:v>49</x:v>
        <x:is>
          <x:t>Total D198</x:t>
        </x:is>
      </x:c>
      <x:c r="C41" s="59"/>
      <x:c r="D41" s="58" t="n">
        <x:v>0</x:v>
      </x:c>
      <x:c r="E41" s="60" t="n">
        <x:v>0</x:v>
      </x:c>
      <x:c r="F41" s="60" t="n">
        <x:f>MAX(D41-E41, 0)</x:f>
        <x:v>1</x:v>
      </x:c>
      <x:c r="G41" s="61" t="n">
        <x:f>IF(D41=0,0,ABS(E41/D41))</x:f>
        <x:v>0.5</x:v>
      </x:c>
      <x:c r="H41" s="58" t="n">
        <x:v>832</x:v>
      </x:c>
      <x:c r="I41" s="60" t="n">
        <x:v>86558.94</x:v>
      </x:c>
      <x:c r="J41" s="62" t="n">
        <x:f>IF(H41=0,"No plan at start",I41/H41)</x:f>
        <x:v>2</x:v>
      </x:c>
      <x:c r="K41" s="60" t="n">
        <x:f>MAX(H41-I41, 0)</x:f>
        <x:v>0</x:v>
      </x:c>
      <x:c r="L41" s="60" t="n">
        <x:v>1043.12</x:v>
      </x:c>
      <x:c r="M41" s="60" t="n">
        <x:f>I41+L41</x:f>
        <x:v>3</x:v>
      </x:c>
      <x:c r="N41" s="60" t="n">
        <x:f>M41-H41</x:f>
        <x:v>2</x:v>
      </x:c>
      <x:c r="O41" s="61" t="n">
        <x:f>IF(H41=0,"No plan at start",M41/H41)</x:f>
        <x:v>3</x:v>
      </x:c>
    </x:row>
    <x:row r="42" spans="1:19" hidden="1" outlineLevel="2" collapsed="1" x14ac:dyDescent="0.2">
      <x:c r="B42" s="45" t="inlineStr">
        <x:is>
          <x:t>E872</x:t>
        </x:is>
      </x:c>
      <x:c r="C42" s="46" t="inlineStr">
        <x:is>
          <x:t>Fraczyk, Paulina</x:t>
        </x:is>
      </x:c>
      <x:c r="D42" s="45" t="n">
        <x:v>873.6</x:v>
      </x:c>
      <x:c r="E42" s="19" t="n">
        <x:v>208</x:v>
      </x:c>
      <x:c r="F42" s="19" t="n">
        <x:f>MAX(D42-E42, 0)</x:f>
        <x:v>1</x:v>
      </x:c>
      <x:c r="G42" s="47" t="n">
        <x:f>IF(D42=0,0,ABS(E42/D42))</x:f>
        <x:v>0.5</x:v>
      </x:c>
      <x:c r="H42" s="52"/>
      <x:c r="I42" s="50"/>
      <x:c r="J42" s="50"/>
      <x:c r="K42" s="51"/>
      <x:c r="L42" s="19" t="n">
        <x:v>9994.4</x:v>
      </x:c>
      <x:c r="M42" s="50"/>
      <x:c r="N42" s="50"/>
      <x:c r="O42" s="70"/>
    </x:row>
    <x:row r="43" spans="1:19" hidden="1" outlineLevel="2" collapsed="1" x14ac:dyDescent="0.2">
      <x:c r="B43" s="45" t="inlineStr">
        <x:is>
          <x:t>E872</x:t>
        </x:is>
      </x:c>
      <x:c r="C43" s="46" t="inlineStr">
        <x:is>
          <x:t>Karp, Robert</x:t>
        </x:is>
      </x:c>
      <x:c r="D43" s="45" t="n">
        <x:v>436.8</x:v>
      </x:c>
      <x:c r="E43" s="19" t="n">
        <x:v>0</x:v>
      </x:c>
      <x:c r="F43" s="19" t="n">
        <x:f>MAX(D43-E43, 0)</x:f>
        <x:v>1</x:v>
      </x:c>
      <x:c r="G43" s="47" t="n">
        <x:f>IF(D43=0,0,ABS(E43/D43))</x:f>
        <x:v>0.5</x:v>
      </x:c>
      <x:c r="H43" s="72"/>
      <x:c r="I43" s="73"/>
      <x:c r="J43" s="73"/>
      <x:c r="K43" s="74"/>
      <x:c r="L43" s="19" t="n">
        <x:v>6768.32</x:v>
      </x:c>
      <x:c r="M43" s="73"/>
      <x:c r="N43" s="73"/>
      <x:c r="O43" s="76"/>
    </x:row>
    <x:row r="44" spans="1:19" hidden="1" outlineLevel="2" collapsed="1" x14ac:dyDescent="0.2">
      <x:c r="B44" s="45" t="inlineStr">
        <x:is>
          <x:t>E872</x:t>
        </x:is>
      </x:c>
      <x:c r="C44" s="46" t="inlineStr">
        <x:is>
          <x:t>Pietkiewicz, Piotr</x:t>
        </x:is>
      </x:c>
      <x:c r="D44" s="45" t="n">
        <x:v>1912.5</x:v>
      </x:c>
      <x:c r="E44" s="19" t="n">
        <x:v>1475.167410714285</x:v>
      </x:c>
      <x:c r="F44" s="19" t="n">
        <x:f>MAX(D44-E44, 0)</x:f>
        <x:v>1</x:v>
      </x:c>
      <x:c r="G44" s="47" t="n">
        <x:f>IF(D44=0,0,ABS(E44/D44))</x:f>
        <x:v>0.5</x:v>
      </x:c>
      <x:c r="H44" s="72"/>
      <x:c r="I44" s="73"/>
      <x:c r="J44" s="73"/>
      <x:c r="K44" s="74"/>
      <x:c r="L44" s="19" t="n">
        <x:v>7042.857142857142</x:v>
      </x:c>
      <x:c r="M44" s="73"/>
      <x:c r="N44" s="73"/>
      <x:c r="O44" s="76"/>
    </x:row>
    <x:row r="45" spans="1:19" hidden="1" outlineLevel="2" collapsed="1" x14ac:dyDescent="0.2">
      <x:c r="B45" s="45" t="inlineStr">
        <x:is>
          <x:t>E872</x:t>
        </x:is>
      </x:c>
      <x:c r="C45" s="46" t="inlineStr">
        <x:is>
          <x:t>Szczepanski, Marcin</x:t>
        </x:is>
      </x:c>
      <x:c r="D45" s="45" t="n">
        <x:v>3494.4</x:v>
      </x:c>
      <x:c r="E45" s="19" t="n">
        <x:v>1742</x:v>
      </x:c>
      <x:c r="F45" s="19" t="n">
        <x:f>MAX(D45-E45, 0)</x:f>
        <x:v>1</x:v>
      </x:c>
      <x:c r="G45" s="47" t="n">
        <x:f>IF(D45=0,0,ABS(E45/D45))</x:f>
        <x:v>0.5</x:v>
      </x:c>
      <x:c r="H45" s="72"/>
      <x:c r="I45" s="73"/>
      <x:c r="J45" s="73"/>
      <x:c r="K45" s="74"/>
      <x:c r="L45" s="19" t="n">
        <x:v>50055.2</x:v>
      </x:c>
      <x:c r="M45" s="73"/>
      <x:c r="N45" s="73"/>
      <x:c r="O45" s="76"/>
    </x:row>
    <x:row r="46" spans="1:19" hidden="1" outlineLevel="2" collapsed="1" x14ac:dyDescent="0.2">
      <x:c r="B46" s="45" t="inlineStr">
        <x:is>
          <x:t>E872</x:t>
        </x:is>
      </x:c>
      <x:c r="C46" s="46" t="inlineStr">
        <x:is>
          <x:t>Zochowski, Rafal</x:t>
        </x:is>
      </x:c>
      <x:c r="D46" s="45" t="n">
        <x:v>4149.6</x:v>
      </x:c>
      <x:c r="E46" s="19" t="n">
        <x:v>2002.0</x:v>
      </x:c>
      <x:c r="F46" s="19" t="n">
        <x:f>MAX(D46-E46, 0)</x:f>
        <x:v>1</x:v>
      </x:c>
      <x:c r="G46" s="47" t="n">
        <x:f>IF(D46=0,0,ABS(E46/D46))</x:f>
        <x:v>0.5</x:v>
      </x:c>
      <x:c r="H46" s="53"/>
      <x:c r="I46" s="54"/>
      <x:c r="J46" s="54"/>
      <x:c r="K46" s="55"/>
      <x:c r="L46" s="19" t="n">
        <x:v>48432.8</x:v>
      </x:c>
      <x:c r="M46" s="54"/>
      <x:c r="N46" s="54"/>
      <x:c r="O46" s="71"/>
    </x:row>
    <x:row r="47" spans="1:19" outlineLevel="1" x14ac:dyDescent="0.2">
      <x:c r="B47" s="58" t="inlineStr">
        <x:v>49</x:v>
        <x:is>
          <x:t>Total E872</x:t>
        </x:is>
      </x:c>
      <x:c r="C47" s="59"/>
      <x:c r="D47" s="58" t="n">
        <x:v>10866.9</x:v>
      </x:c>
      <x:c r="E47" s="60" t="n">
        <x:v>5427.167410714285</x:v>
      </x:c>
      <x:c r="F47" s="60" t="n">
        <x:f>MAX(D47-E47, 0)</x:f>
        <x:v>1</x:v>
      </x:c>
      <x:c r="G47" s="61" t="n">
        <x:f>IF(D47=0,0,ABS(E47/D47))</x:f>
        <x:v>0.5</x:v>
      </x:c>
      <x:c r="H47" s="58" t="n">
        <x:v>216555.9569</x:v>
      </x:c>
      <x:c r="I47" s="60" t="n">
        <x:v>191853.1562499999639</x:v>
      </x:c>
      <x:c r="J47" s="62" t="n">
        <x:f>IF(H47=0,"No plan at start",I47/H47)</x:f>
        <x:v>2</x:v>
      </x:c>
      <x:c r="K47" s="60" t="n">
        <x:f>MAX(H47-I47, 0)</x:f>
        <x:v>0</x:v>
      </x:c>
      <x:c r="L47" s="60" t="n">
        <x:v>122293.577142857142</x:v>
      </x:c>
      <x:c r="M47" s="60" t="n">
        <x:f>I47+L47</x:f>
        <x:v>3</x:v>
      </x:c>
      <x:c r="N47" s="60" t="n">
        <x:f>M47-H47</x:f>
        <x:v>2</x:v>
      </x:c>
      <x:c r="O47" s="61" t="n">
        <x:f>IF(H47=0,"No plan at start",M47/H47)</x:f>
        <x:v>3</x:v>
      </x:c>
    </x:row>
    <x:row r="48" spans="1:19" hidden="1" outlineLevel="2" collapsed="1" x14ac:dyDescent="0.2">
      <x:c r="B48" s="45" t="inlineStr">
        <x:is>
          <x:t>F808</x:t>
        </x:is>
      </x:c>
      <x:c r="C48" s="46" t="inlineStr">
        <x:is>
          <x:t>Karp, Robert</x:t>
        </x:is>
      </x:c>
      <x:c r="D48" s="45" t="n">
        <x:v>4368</x:v>
      </x:c>
      <x:c r="E48" s="19" t="n">
        <x:v>1644.5</x:v>
      </x:c>
      <x:c r="F48" s="19" t="n">
        <x:f>MAX(D48-E48, 0)</x:f>
        <x:v>1</x:v>
      </x:c>
      <x:c r="G48" s="47" t="n">
        <x:f>IF(D48=0,0,ABS(E48/D48))</x:f>
        <x:v>0.5</x:v>
      </x:c>
      <x:c r="H48" s="52"/>
      <x:c r="I48" s="50"/>
      <x:c r="J48" s="50"/>
      <x:c r="K48" s="51"/>
      <x:c r="L48" s="19" t="n">
        <x:v>19572.8</x:v>
      </x:c>
      <x:c r="M48" s="50"/>
      <x:c r="N48" s="50"/>
      <x:c r="O48" s="70"/>
    </x:row>
    <x:row r="49" spans="1:19" outlineLevel="1" x14ac:dyDescent="0.2">
      <x:c r="B49" s="58" t="inlineStr">
        <x:v>49</x:v>
        <x:is>
          <x:t>Total F808</x:t>
        </x:is>
      </x:c>
      <x:c r="C49" s="59"/>
      <x:c r="D49" s="58" t="n">
        <x:v>4368</x:v>
      </x:c>
      <x:c r="E49" s="60" t="n">
        <x:v>1644.5</x:v>
      </x:c>
      <x:c r="F49" s="60" t="n">
        <x:f>MAX(D49-E49, 0)</x:f>
        <x:v>1</x:v>
      </x:c>
      <x:c r="G49" s="61" t="n">
        <x:f>IF(D49=0,0,ABS(E49/D49))</x:f>
        <x:v>0.5</x:v>
      </x:c>
      <x:c r="H49" s="58" t="n">
        <x:v>61048</x:v>
      </x:c>
      <x:c r="I49" s="60" t="n">
        <x:v>130760.5</x:v>
      </x:c>
      <x:c r="J49" s="62" t="n">
        <x:f>IF(H49=0,"No plan at start",I49/H49)</x:f>
        <x:v>2</x:v>
      </x:c>
      <x:c r="K49" s="60" t="n">
        <x:f>MAX(H49-I49, 0)</x:f>
        <x:v>0</x:v>
      </x:c>
      <x:c r="L49" s="60" t="n">
        <x:v>19572.8</x:v>
      </x:c>
      <x:c r="M49" s="60" t="n">
        <x:f>I49+L49</x:f>
        <x:v>3</x:v>
      </x:c>
      <x:c r="N49" s="60" t="n">
        <x:f>M49-H49</x:f>
        <x:v>2</x:v>
      </x:c>
      <x:c r="O49" s="61" t="n">
        <x:f>IF(H49=0,"No plan at start",M49/H49)</x:f>
        <x:v>3</x:v>
      </x:c>
    </x:row>
    <x:row r="50" spans="1:19" hidden="1" outlineLevel="2" collapsed="1" x14ac:dyDescent="0.2">
      <x:c r="B50" s="45" t="inlineStr">
        <x:is>
          <x:t>G429</x:t>
        </x:is>
      </x:c>
      <x:c r="C50" s="46" t="inlineStr">
        <x:is>
          <x:t>Szczepanski, Marcin</x:t>
        </x:is>
      </x:c>
      <x:c r="D50" s="45" t="n">
        <x:v>104</x:v>
      </x:c>
      <x:c r="E50" s="19" t="n">
        <x:v>0</x:v>
      </x:c>
      <x:c r="F50" s="19" t="n">
        <x:f>MAX(D50-E50, 0)</x:f>
        <x:v>1</x:v>
      </x:c>
      <x:c r="G50" s="47" t="n">
        <x:f>IF(D50=0,0,ABS(E50/D50))</x:f>
        <x:v>0.5</x:v>
      </x:c>
      <x:c r="H50" s="52"/>
      <x:c r="I50" s="50"/>
      <x:c r="J50" s="50"/>
      <x:c r="K50" s="51"/>
      <x:c r="L50" s="19" t="n">
        <x:v>0</x:v>
      </x:c>
      <x:c r="M50" s="50"/>
      <x:c r="N50" s="50"/>
      <x:c r="O50" s="70"/>
    </x:row>
    <x:row r="51" spans="1:19" outlineLevel="1" x14ac:dyDescent="0.2">
      <x:c r="B51" s="58" t="inlineStr">
        <x:v>49</x:v>
        <x:is>
          <x:t>Total G429</x:t>
        </x:is>
      </x:c>
      <x:c r="C51" s="59"/>
      <x:c r="D51" s="58" t="n">
        <x:v>104</x:v>
      </x:c>
      <x:c r="E51" s="60" t="n">
        <x:v>0</x:v>
      </x:c>
      <x:c r="F51" s="60" t="n">
        <x:f>MAX(D51-E51, 0)</x:f>
        <x:v>1</x:v>
      </x:c>
      <x:c r="G51" s="61" t="n">
        <x:f>IF(D51=0,0,ABS(E51/D51))</x:f>
        <x:v>0.5</x:v>
      </x:c>
      <x:c r="H51" s="58" t="n">
        <x:v>790.4</x:v>
      </x:c>
      <x:c r="I51" s="60" t="n">
        <x:v>140485.54</x:v>
      </x:c>
      <x:c r="J51" s="62" t="n">
        <x:f>IF(H51=0,"No plan at start",I51/H51)</x:f>
        <x:v>2</x:v>
      </x:c>
      <x:c r="K51" s="60" t="n">
        <x:f>MAX(H51-I51, 0)</x:f>
        <x:v>0</x:v>
      </x:c>
      <x:c r="L51" s="60" t="n">
        <x:v>0</x:v>
      </x:c>
      <x:c r="M51" s="60" t="n">
        <x:f>I51+L51</x:f>
        <x:v>3</x:v>
      </x:c>
      <x:c r="N51" s="60" t="n">
        <x:f>M51-H51</x:f>
        <x:v>2</x:v>
      </x:c>
      <x:c r="O51" s="61" t="n">
        <x:f>IF(H51=0,"No plan at start",M51/H51)</x:f>
        <x:v>3</x:v>
      </x:c>
    </x:row>
    <x:row r="52" spans="1:19" hidden="1" outlineLevel="2" collapsed="1" x14ac:dyDescent="0.2">
      <x:c r="B52" s="45" t="inlineStr">
        <x:is>
          <x:t>J500</x:t>
        </x:is>
      </x:c>
      <x:c r="C52" s="46" t="inlineStr">
        <x:is>
          <x:t>Witan (Stroczkowska), Katarzyna</x:t>
        </x:is>
      </x:c>
      <x:c r="D52" s="45" t="n">
        <x:v>3434.496</x:v>
      </x:c>
      <x:c r="E52" s="19" t="n">
        <x:v>3532.88</x:v>
      </x:c>
      <x:c r="F52" s="19" t="n">
        <x:f>MAX(D52-E52, 0)</x:f>
        <x:v>1</x:v>
      </x:c>
      <x:c r="G52" s="47" t="n">
        <x:f>IF(D52=0,0,ABS(E52/D52))</x:f>
        <x:v>0.5</x:v>
      </x:c>
      <x:c r="H52" s="52"/>
      <x:c r="I52" s="50"/>
      <x:c r="J52" s="50"/>
      <x:c r="K52" s="51"/>
      <x:c r="L52" s="19" t="n">
        <x:v>29497.312</x:v>
      </x:c>
      <x:c r="M52" s="50"/>
      <x:c r="N52" s="50"/>
      <x:c r="O52" s="70"/>
    </x:row>
    <x:row r="53" spans="1:19" outlineLevel="1" x14ac:dyDescent="0.2">
      <x:c r="B53" s="58" t="inlineStr">
        <x:v>49</x:v>
        <x:is>
          <x:t>Total J500</x:t>
        </x:is>
      </x:c>
      <x:c r="C53" s="59"/>
      <x:c r="D53" s="58" t="n">
        <x:v>3434.496</x:v>
      </x:c>
      <x:c r="E53" s="60" t="n">
        <x:v>3532.88</x:v>
      </x:c>
      <x:c r="F53" s="60" t="n">
        <x:f>MAX(D53-E53, 0)</x:f>
        <x:v>1</x:v>
      </x:c>
      <x:c r="G53" s="61" t="n">
        <x:f>IF(D53=0,0,ABS(E53/D53))</x:f>
        <x:v>0.5</x:v>
      </x:c>
      <x:c r="H53" s="58" t="n">
        <x:v>77285.104</x:v>
      </x:c>
      <x:c r="I53" s="60" t="n">
        <x:v>47771.88</x:v>
      </x:c>
      <x:c r="J53" s="62" t="n">
        <x:f>IF(H53=0,"No plan at start",I53/H53)</x:f>
        <x:v>2</x:v>
      </x:c>
      <x:c r="K53" s="60" t="n">
        <x:f>MAX(H53-I53, 0)</x:f>
        <x:v>0</x:v>
      </x:c>
      <x:c r="L53" s="60" t="n">
        <x:v>29497.312</x:v>
      </x:c>
      <x:c r="M53" s="60" t="n">
        <x:f>I53+L53</x:f>
        <x:v>3</x:v>
      </x:c>
      <x:c r="N53" s="60" t="n">
        <x:f>M53-H53</x:f>
        <x:v>2</x:v>
      </x:c>
      <x:c r="O53" s="61" t="n">
        <x:f>IF(H53=0,"No plan at start",M53/H53)</x:f>
        <x:v>3</x:v>
      </x:c>
    </x:row>
    <x:row r="54" spans="1:19" hidden="1" outlineLevel="2" collapsed="1" x14ac:dyDescent="0.2">
      <x:c r="B54" s="45" t="inlineStr">
        <x:is>
          <x:t>K358</x:t>
        </x:is>
      </x:c>
      <x:c r="C54" s="46" t="inlineStr">
        <x:is>
          <x:t>Fraczyk, Paulina</x:t>
        </x:is>
      </x:c>
      <x:c r="D54" s="45" t="n">
        <x:v>0</x:v>
      </x:c>
      <x:c r="E54" s="19" t="n">
        <x:v>1872</x:v>
      </x:c>
      <x:c r="F54" s="19" t="n">
        <x:f>MAX(D54-E54, 0)</x:f>
        <x:v>1</x:v>
      </x:c>
      <x:c r="G54" s="47" t="n">
        <x:f>IF(D54=0,0,ABS(E54/D54))</x:f>
        <x:v>0.5</x:v>
      </x:c>
      <x:c r="H54" s="52"/>
      <x:c r="I54" s="50"/>
      <x:c r="J54" s="50"/>
      <x:c r="K54" s="51"/>
      <x:c r="L54" s="19" t="n">
        <x:v>0</x:v>
      </x:c>
      <x:c r="M54" s="50"/>
      <x:c r="N54" s="50"/>
      <x:c r="O54" s="70"/>
    </x:row>
    <x:row r="55" spans="1:19" ht="13.5" outlineLevel="1" thickBot="1" x14ac:dyDescent="0.25">
      <x:c r="B55" s="63" t="inlineStr">
        <x:v>49</x:v>
        <x:is>
          <x:t>Total K358</x:t>
        </x:is>
      </x:c>
      <x:c r="C55" s="64"/>
      <x:c r="D55" s="63" t="n">
        <x:v>0</x:v>
      </x:c>
      <x:c r="E55" s="65" t="n">
        <x:v>1872</x:v>
      </x:c>
      <x:c r="F55" s="65" t="n">
        <x:f>MAX(D55-E55, 0)</x:f>
        <x:v>0</x:v>
      </x:c>
      <x:c r="G55" s="66" t="n">
        <x:f>IF(D55=0,0,ABS(E55/D55))</x:f>
        <x:v>4</x:v>
      </x:c>
      <x:c r="H55" s="63" t="n">
        <x:v>0</x:v>
      </x:c>
      <x:c r="I55" s="65" t="n">
        <x:v>9860.5</x:v>
      </x:c>
      <x:c r="J55" s="67" t="n">
        <x:f>IF(H55=0,"No plan at start",I55/H55)</x:f>
        <x:v>0.5</x:v>
      </x:c>
      <x:c r="K55" s="65" t="n">
        <x:f>MAX(H55-I55, 0)</x:f>
        <x:v>1</x:v>
      </x:c>
      <x:c r="L55" s="65" t="n">
        <x:v>0</x:v>
      </x:c>
      <x:c r="M55" s="65" t="n">
        <x:f>I55+L55</x:f>
        <x:v>6</x:v>
      </x:c>
      <x:c r="N55" s="65" t="n">
        <x:f>M55-H55</x:f>
        <x:v>4</x:v>
      </x:c>
      <x:c r="O55" s="66" t="n">
        <x:f>IF(H55=0,"No plan at start",M55/H55)</x:f>
        <x:v>3</x:v>
      </x:c>
    </x:row>
    <x:row r="56" x14ac:dyDescent="0.2"/>
  </x:sheetData>
  <x:mergeCells count="9">
    <x:mergeCell ref="B2:C2"/>
    <x:mergeCell ref="F2:G2"/>
    <x:mergeCell ref="F4:G4"/>
    <x:mergeCell ref="F5:O7"/>
    <x:mergeCell ref="F8:M9"/>
    <x:mergeCell ref="D14:G14"/>
    <x:mergeCell ref="H14:O14"/>
    <x:mergeCell ref="D37:G37"/>
    <x:mergeCell ref="H37:O37"/>
  </x:mergeCells>
  <x:conditionalFormatting sqref="F17:F32 F40:F55">
    <x:cfRule type="cellIs" dxfId="11" priority="5" operator="greaterThan">
      <x:formula>0</x:formula>
    </x:cfRule>
    <x:cfRule type="cellIs" dxfId="10" priority="6" operator="lessThanOrEqual">
      <x:formula>0</x:formula>
    </x:cfRule>
  </x:conditionalFormatting>
  <x:conditionalFormatting sqref="N18 N24 N26 N28 N30 N32 N41 N47 N49 N51 N53 N55">
    <x:cfRule type="cellIs" dxfId="9" priority="4" operator="greaterThan">
      <x:formula>0</x:formula>
    </x:cfRule>
    <x:cfRule type="cellIs" dxfId="8" priority="3" operator="lessThanOrEqual">
      <x:formula>0</x:formula>
    </x:cfRule>
  </x:conditionalFormatting>
  <x:conditionalFormatting sqref="K18 K24 K26 K28 K30 K32 K41 K47 K49 K51 K53 K55">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