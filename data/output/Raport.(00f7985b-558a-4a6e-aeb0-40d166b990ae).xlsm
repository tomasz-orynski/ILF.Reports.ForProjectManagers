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<sst xmlns="http://schemas.openxmlformats.org/spreadsheetml/2006/main" count="79" uniqueCount="50">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</sst>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I&amp;C</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Lewandowski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Pawel Lewandowski</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Celinski-Myslaw, Bartosz</x:t>
        </x:is>
      </x:c>
      <x:c r="D17" s="45" t="n">
        <x:v>42</x:v>
      </x:c>
      <x:c r="E17" s="19" t="n">
        <x:v>50.0</x:v>
      </x:c>
      <x:c r="F17" s="19" t="n">
        <x:f>MAX(D17-E17, 0)</x:f>
        <x:v>1</x:v>
      </x:c>
      <x:c r="G17" s="47" t="n">
        <x:f>IF(D17=0,0,ABS(E17/D17))</x:f>
        <x:v>0.5</x:v>
      </x:c>
      <x:c r="H17" s="52"/>
      <x:c r="I17" s="50"/>
      <x:c r="J17" s="50"/>
      <x:c r="K17" s="51"/>
      <x:c r="L17" s="19" t="n">
        <x:v>558</x:v>
      </x:c>
      <x:c r="M17" s="56"/>
      <x:c r="N17" s="50"/>
      <x:c r="O17" s="70"/>
      <x:c r="P17" s="29"/>
      <x:c r="Q17" s="30"/>
      <x:c r="R17" s="31"/>
      <x:c r="S17" s="31"/>
    </x:row>
    <x:row r="18" spans="1:19" s="7" customFormat="1" hidden="1" outlineLevel="2" collapsed="1" x14ac:dyDescent="0.2">
      <x:c r="A18" s="5"/>
      <x:c r="B18" s="45" t="inlineStr">
        <x:is>
          <x:t>E872</x:t>
        </x:is>
      </x:c>
      <x:c r="C18" s="46" t="inlineStr">
        <x:is>
          <x:t>Czaplejewicz, Seweryn</x:t>
        </x:is>
      </x:c>
      <x:c r="D18" s="45" t="n">
        <x:v>25.2</x:v>
      </x:c>
      <x:c r="E18" s="19" t="n">
        <x:v>3</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Jankowski, Wojciech</x:t>
        </x:is>
      </x:c>
      <x:c r="D19" s="45" t="n">
        <x:v>0</x:v>
      </x:c>
      <x:c r="E19" s="19" t="n">
        <x:v>14</x:v>
      </x:c>
      <x:c r="F19" s="19" t="n">
        <x:f>MAX(D19-E19, 0)</x:f>
        <x:v>1</x:v>
      </x:c>
      <x:c r="G19" s="47" t="n">
        <x:f>IF(D19=0,0,ABS(E19/D19))</x:f>
        <x:v>0.5</x:v>
      </x:c>
      <x:c r="H19" s="72"/>
      <x:c r="I19" s="73"/>
      <x:c r="J19" s="73"/>
      <x:c r="K19" s="74"/>
      <x:c r="L19" s="19" t="n">
        <x:v>306</x:v>
      </x:c>
      <x:c r="M19" s="75"/>
      <x:c r="N19" s="73"/>
      <x:c r="O19" s="76"/>
      <x:c r="P19" s="29"/>
      <x:c r="Q19" s="30"/>
      <x:c r="R19" s="31"/>
      <x:c r="S19" s="31"/>
    </x:row>
    <x:row r="20" spans="1:19" s="7" customFormat="1" hidden="1" outlineLevel="2" collapsed="1" x14ac:dyDescent="0.2">
      <x:c r="A20" s="5"/>
      <x:c r="B20" s="45" t="inlineStr">
        <x:is>
          <x:t>E872</x:t>
        </x:is>
      </x:c>
      <x:c r="C20" s="46" t="inlineStr">
        <x:is>
          <x:t>Pakulak, Przemyslaw</x:t>
        </x:is>
      </x:c>
      <x:c r="D20" s="45" t="n">
        <x:v>84</x:v>
      </x:c>
      <x:c r="E20" s="19" t="n">
        <x:v>79.00</x:v>
      </x:c>
      <x:c r="F20" s="19" t="n">
        <x:f>MAX(D20-E20, 0)</x:f>
        <x:v>1</x:v>
      </x:c>
      <x:c r="G20" s="47" t="n">
        <x:f>IF(D20=0,0,ABS(E20/D20))</x:f>
        <x:v>0.5</x:v>
      </x:c>
      <x:c r="H20" s="72"/>
      <x:c r="I20" s="73"/>
      <x:c r="J20" s="73"/>
      <x:c r="K20" s="74"/>
      <x:c r="L20" s="19" t="n">
        <x:v>1428.8</x:v>
      </x:c>
      <x:c r="M20" s="75"/>
      <x:c r="N20" s="73"/>
      <x:c r="O20" s="76"/>
      <x:c r="P20" s="29"/>
      <x:c r="Q20" s="30"/>
      <x:c r="R20" s="31"/>
      <x:c r="S20" s="31"/>
    </x:row>
    <x:row r="21" spans="1:19" s="7" customFormat="1" hidden="1" outlineLevel="2" collapsed="1" x14ac:dyDescent="0.2">
      <x:c r="A21" s="5"/>
      <x:c r="B21" s="45" t="inlineStr">
        <x:is>
          <x:t>E872</x:t>
        </x:is>
      </x:c>
      <x:c r="C21" s="46" t="inlineStr">
        <x:is>
          <x:t>Podgorski, Mateusz</x:t>
        </x:is>
      </x:c>
      <x:c r="D21" s="45" t="n">
        <x:v>50.4</x:v>
      </x:c>
      <x:c r="E21" s="19" t="n">
        <x:v>18</x:v>
      </x:c>
      <x:c r="F21" s="19" t="n">
        <x:f>MAX(D21-E21, 0)</x:f>
        <x:v>1</x:v>
      </x:c>
      <x:c r="G21" s="47" t="n">
        <x:f>IF(D21=0,0,ABS(E21/D21))</x:f>
        <x:v>0.5</x:v>
      </x:c>
      <x:c r="H21" s="72"/>
      <x:c r="I21" s="73"/>
      <x:c r="J21" s="73"/>
      <x:c r="K21" s="74"/>
      <x:c r="L21" s="19" t="n">
        <x:v>0</x:v>
      </x:c>
      <x:c r="M21" s="75"/>
      <x:c r="N21" s="73"/>
      <x:c r="O21" s="76"/>
      <x:c r="P21" s="29"/>
      <x:c r="Q21" s="30"/>
      <x:c r="R21" s="31"/>
      <x:c r="S21" s="31"/>
    </x:row>
    <x:row r="22" spans="1:19" s="7" customFormat="1" hidden="1" outlineLevel="2" collapsed="1" x14ac:dyDescent="0.2">
      <x:c r="A22" s="5"/>
      <x:c r="B22" s="45" t="inlineStr">
        <x:is>
          <x:t>E872</x:t>
        </x:is>
      </x:c>
      <x:c r="C22" s="46" t="inlineStr">
        <x:is>
          <x:t>Szczesny, Damian</x:t>
        </x:is>
      </x:c>
      <x:c r="D22" s="45" t="n">
        <x:v>0</x:v>
      </x:c>
      <x:c r="E22" s="19" t="n">
        <x:v>0.75</x:v>
      </x:c>
      <x:c r="F22" s="19" t="n">
        <x:f>MAX(D22-E22, 0)</x:f>
        <x:v>1</x:v>
      </x:c>
      <x:c r="G22" s="47" t="n">
        <x:f>IF(D22=0,0,ABS(E22/D22))</x:f>
        <x:v>0.5</x:v>
      </x:c>
      <x:c r="H22" s="72"/>
      <x:c r="I22" s="73"/>
      <x:c r="J22" s="73"/>
      <x:c r="K22" s="74"/>
      <x:c r="L22" s="19" t="n">
        <x:v>0</x:v>
      </x:c>
      <x:c r="M22" s="57"/>
      <x:c r="N22" s="54"/>
      <x:c r="O22" s="71"/>
      <x:c r="P22" s="29"/>
      <x:c r="Q22" s="30"/>
      <x:c r="R22" s="31"/>
      <x:c r="S22" s="31"/>
    </x:row>
    <x:row r="23" spans="1:19" s="7" customFormat="1" outlineLevel="1" x14ac:dyDescent="0.2">
      <x:c r="A23" s="5"/>
      <x:c r="B23" s="58" t="inlineStr">
        <x:v>49</x:v>
        <x:is>
          <x:t>Total E872</x:t>
        </x:is>
      </x:c>
      <x:c r="C23" s="59"/>
      <x:c r="D23" s="58" t="n">
        <x:v>201.6</x:v>
      </x:c>
      <x:c r="E23" s="60" t="n">
        <x:v>164.75</x:v>
      </x:c>
      <x:c r="F23" s="60" t="n">
        <x:f>MAX(D23-E23, 0)</x:f>
        <x:v>1</x:v>
      </x:c>
      <x:c r="G23" s="61" t="n">
        <x:f>IF(D23=0,0,ABS(E23/D23))</x:f>
        <x:v>0.5</x:v>
      </x:c>
      <x:c r="H23" s="58" t="n">
        <x:v>0</x:v>
      </x:c>
      <x:c r="I23" s="60" t="n">
        <x:v>4619.50</x:v>
      </x:c>
      <x:c r="J23" s="62" t="n">
        <x:f>IF(H23=0,"No plan at start",I23/H23)</x:f>
        <x:v>2</x:v>
      </x:c>
      <x:c r="K23" s="60" t="n">
        <x:f>MAX(H23-I23, 0)</x:f>
        <x:v>0</x:v>
      </x:c>
      <x:c r="L23" s="60" t="n">
        <x:v>2292.8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F808</x:t>
        </x:is>
      </x:c>
      <x:c r="C24" s="46" t="inlineStr">
        <x:is>
          <x:t>Lugowski, Jaroslaw</x:t>
        </x:is>
      </x:c>
      <x:c r="D24" s="45" t="n">
        <x:v>168</x:v>
      </x:c>
      <x:c r="E24" s="19" t="n">
        <x:v>91.5</x:v>
      </x:c>
      <x:c r="F24" s="19" t="n">
        <x:f>MAX(D24-E24, 0)</x:f>
        <x:v>1</x:v>
      </x:c>
      <x:c r="G24" s="47" t="n">
        <x:f>IF(D24=0,0,ABS(E24/D24))</x:f>
        <x:v>0.5</x:v>
      </x:c>
      <x:c r="H24" s="52"/>
      <x:c r="I24" s="50"/>
      <x:c r="J24" s="50"/>
      <x:c r="K24" s="51"/>
      <x:c r="L24" s="19" t="n">
        <x:v>770.4</x:v>
      </x:c>
      <x:c r="M24" s="56"/>
      <x:c r="N24" s="50"/>
      <x:c r="O24" s="70"/>
      <x:c r="P24" s="29"/>
      <x:c r="Q24" s="30"/>
      <x:c r="R24" s="31"/>
      <x:c r="S24" s="31"/>
    </x:row>
    <x:row r="25" spans="1:19" s="7" customFormat="1" outlineLevel="1" x14ac:dyDescent="0.2">
      <x:c r="A25" s="5"/>
      <x:c r="B25" s="58" t="inlineStr">
        <x:v>49</x:v>
        <x:is>
          <x:t>Total F808</x:t>
        </x:is>
      </x:c>
      <x:c r="C25" s="59"/>
      <x:c r="D25" s="58" t="n">
        <x:v>168</x:v>
      </x:c>
      <x:c r="E25" s="60" t="n">
        <x:v>91.5</x:v>
      </x:c>
      <x:c r="F25" s="60" t="n">
        <x:f>MAX(D25-E25, 0)</x:f>
        <x:v>1</x:v>
      </x:c>
      <x:c r="G25" s="61" t="n">
        <x:f>IF(D25=0,0,ABS(E25/D25))</x:f>
        <x:v>0.5</x:v>
      </x:c>
      <x:c r="H25" s="58" t="n">
        <x:v>0</x:v>
      </x:c>
      <x:c r="I25" s="60" t="n">
        <x:v>4327.50</x:v>
      </x:c>
      <x:c r="J25" s="62" t="n">
        <x:f>IF(H25=0,"No plan at start",I25/H25)</x:f>
        <x:v>2</x:v>
      </x:c>
      <x:c r="K25" s="60" t="n">
        <x:f>MAX(H25-I25, 0)</x:f>
        <x:v>0</x:v>
      </x:c>
      <x:c r="L25" s="60" t="n">
        <x:v>770.4</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H808</x:t>
        </x:is>
      </x:c>
      <x:c r="C26" s="46" t="inlineStr">
        <x:is>
          <x:t>Czaplejewicz, Seweryn</x:t>
        </x:is>
      </x:c>
      <x:c r="D26" s="45" t="n">
        <x:v>16.8</x:v>
      </x:c>
      <x:c r="E26" s="19" t="n">
        <x:v>1</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hidden="1" outlineLevel="2" collapsed="1" x14ac:dyDescent="0.2">
      <x:c r="A27" s="5"/>
      <x:c r="B27" s="45" t="inlineStr">
        <x:is>
          <x:t>H808</x:t>
        </x:is>
      </x:c>
      <x:c r="C27" s="46" t="inlineStr">
        <x:is>
          <x:t>Jankowski, Wojciech</x:t>
        </x:is>
      </x:c>
      <x:c r="D27" s="45" t="n">
        <x:v>5.03</x:v>
      </x:c>
      <x:c r="E27" s="19" t="n">
        <x:v>0</x:v>
      </x:c>
      <x:c r="F27" s="19" t="n">
        <x:f>MAX(D27-E27, 0)</x:f>
        <x:v>1</x:v>
      </x:c>
      <x:c r="G27" s="47" t="n">
        <x:f>IF(D27=0,0,ABS(E27/D27))</x:f>
        <x:v>0.5</x:v>
      </x:c>
      <x:c r="H27" s="72"/>
      <x:c r="I27" s="73"/>
      <x:c r="J27" s="73"/>
      <x:c r="K27" s="74"/>
      <x:c r="L27" s="19" t="n">
        <x:v>86</x:v>
      </x:c>
      <x:c r="M27" s="75"/>
      <x:c r="N27" s="73"/>
      <x:c r="O27" s="76"/>
      <x:c r="P27" s="29"/>
      <x:c r="Q27" s="30"/>
      <x:c r="R27" s="31"/>
      <x:c r="S27" s="31"/>
    </x:row>
    <x:row r="28" spans="1:19" s="7" customFormat="1" hidden="1" outlineLevel="2" collapsed="1" x14ac:dyDescent="0.2">
      <x:c r="A28" s="5"/>
      <x:c r="B28" s="45" t="inlineStr">
        <x:is>
          <x:t>H808</x:t>
        </x:is>
      </x:c>
      <x:c r="C28" s="46" t="inlineStr">
        <x:is>
          <x:t>Lemanska, Martyna</x:t>
        </x:is>
      </x:c>
      <x:c r="D28" s="45" t="n">
        <x:v>126</x:v>
      </x:c>
      <x:c r="E28" s="19" t="n">
        <x:v>68.0</x:v>
      </x:c>
      <x:c r="F28" s="19" t="n">
        <x:f>MAX(D28-E28, 0)</x:f>
        <x:v>1</x:v>
      </x:c>
      <x:c r="G28" s="47" t="n">
        <x:f>IF(D28=0,0,ABS(E28/D28))</x:f>
        <x:v>0.5</x:v>
      </x:c>
      <x:c r="H28" s="72"/>
      <x:c r="I28" s="73"/>
      <x:c r="J28" s="73"/>
      <x:c r="K28" s="74"/>
      <x:c r="L28" s="19" t="n">
        <x:v>110.4</x:v>
      </x:c>
      <x:c r="M28" s="75"/>
      <x:c r="N28" s="73"/>
      <x:c r="O28" s="76"/>
      <x:c r="P28" s="29"/>
      <x:c r="Q28" s="30"/>
      <x:c r="R28" s="31"/>
      <x:c r="S28" s="31"/>
    </x:row>
    <x:row r="29" spans="1:19" s="7" customFormat="1" hidden="1" outlineLevel="2" collapsed="1" x14ac:dyDescent="0.2">
      <x:c r="A29" s="5"/>
      <x:c r="B29" s="45" t="inlineStr">
        <x:is>
          <x:t>H808</x:t>
        </x:is>
      </x:c>
      <x:c r="C29" s="46" t="inlineStr">
        <x:is>
          <x:t>Podgorski, Mateusz</x:t>
        </x:is>
      </x:c>
      <x:c r="D29" s="45" t="n">
        <x:v>0</x:v>
      </x:c>
      <x:c r="E29" s="19" t="n">
        <x:v>65.75</x:v>
      </x:c>
      <x:c r="F29" s="19" t="n">
        <x:f>MAX(D29-E29, 0)</x:f>
        <x:v>1</x:v>
      </x:c>
      <x:c r="G29" s="47" t="n">
        <x:f>IF(D29=0,0,ABS(E29/D29))</x:f>
        <x:v>0.5</x:v>
      </x:c>
      <x:c r="H29" s="72"/>
      <x:c r="I29" s="73"/>
      <x:c r="J29" s="73"/>
      <x:c r="K29" s="74"/>
      <x:c r="L29" s="19" t="n">
        <x:v>333.6</x:v>
      </x:c>
      <x:c r="M29" s="57"/>
      <x:c r="N29" s="54"/>
      <x:c r="O29" s="71"/>
      <x:c r="P29" s="29"/>
      <x:c r="Q29" s="30"/>
      <x:c r="R29" s="31"/>
      <x:c r="S29" s="31"/>
    </x:row>
    <x:row r="30" spans="1:19" s="7" customFormat="1" outlineLevel="1" x14ac:dyDescent="0.2">
      <x:c r="A30" s="5"/>
      <x:c r="B30" s="58" t="inlineStr">
        <x:v>49</x:v>
        <x:is>
          <x:t>Total H808</x:t>
        </x:is>
      </x:c>
      <x:c r="C30" s="59"/>
      <x:c r="D30" s="58" t="n">
        <x:v>147.83</x:v>
      </x:c>
      <x:c r="E30" s="60" t="n">
        <x:v>134.75</x:v>
      </x:c>
      <x:c r="F30" s="60" t="n">
        <x:f>MAX(D30-E30, 0)</x:f>
        <x:v>1</x:v>
      </x:c>
      <x:c r="G30" s="61" t="n">
        <x:f>IF(D30=0,0,ABS(E30/D30))</x:f>
        <x:v>0.5</x:v>
      </x:c>
      <x:c r="H30" s="58" t="n">
        <x:v>3096.8</x:v>
      </x:c>
      <x:c r="I30" s="60" t="n">
        <x:v>3584.75</x:v>
      </x:c>
      <x:c r="J30" s="62" t="n">
        <x:f>IF(H30=0,"No plan at start",I30/H30)</x:f>
        <x:v>2</x:v>
      </x:c>
      <x:c r="K30" s="60" t="n">
        <x:f>MAX(H30-I30, 0)</x:f>
        <x:v>0</x:v>
      </x:c>
      <x:c r="L30" s="60" t="n">
        <x:v>530.0</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J399</x:t>
        </x:is>
      </x:c>
      <x:c r="C31" s="46" t="inlineStr">
        <x:is>
          <x:t>Jankowski, Wojciech</x:t>
        </x:is>
      </x:c>
      <x:c r="D31" s="45" t="n">
        <x:v>0</x:v>
      </x:c>
      <x:c r="E31" s="19" t="n">
        <x:v>9</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outlineLevel="1" x14ac:dyDescent="0.2">
      <x:c r="A32" s="5"/>
      <x:c r="B32" s="58" t="inlineStr">
        <x:v>49</x:v>
        <x:is>
          <x:t>Total J399</x:t>
        </x:is>
      </x:c>
      <x:c r="C32" s="59"/>
      <x:c r="D32" s="58" t="n">
        <x:v>0</x:v>
      </x:c>
      <x:c r="E32" s="60" t="n">
        <x:v>9</x:v>
      </x:c>
      <x:c r="F32" s="60" t="n">
        <x:f>MAX(D32-E32, 0)</x:f>
        <x:v>1</x:v>
      </x:c>
      <x:c r="G32" s="61" t="n">
        <x:f>IF(D32=0,0,ABS(E32/D32))</x:f>
        <x:v>0.5</x:v>
      </x:c>
      <x:c r="H32" s="58" t="n">
        <x:v>0</x:v>
      </x:c>
      <x:c r="I32" s="60" t="n">
        <x:v>4601.25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Czaplejewicz, Seweryn</x:t>
        </x:is>
      </x:c>
      <x:c r="D33" s="45" t="n">
        <x:v>50.4</x:v>
      </x:c>
      <x:c r="E33" s="19" t="n">
        <x:v>87</x:v>
      </x:c>
      <x:c r="F33" s="19" t="n">
        <x:f>MAX(D33-E33, 0)</x:f>
        <x:v>1</x:v>
      </x:c>
      <x:c r="G33" s="47" t="n">
        <x:f>IF(D33=0,0,ABS(E33/D33))</x:f>
        <x:v>0.5</x:v>
      </x:c>
      <x:c r="H33" s="52"/>
      <x:c r="I33" s="50"/>
      <x:c r="J33" s="50"/>
      <x:c r="K33" s="51"/>
      <x:c r="L33" s="19" t="n">
        <x:v>72</x:v>
      </x:c>
      <x:c r="M33" s="56"/>
      <x:c r="N33" s="50"/>
      <x:c r="O33" s="70"/>
      <x:c r="P33" s="29"/>
      <x:c r="Q33" s="30"/>
      <x:c r="R33" s="31"/>
      <x:c r="S33" s="31"/>
    </x:row>
    <x:row r="34" spans="1:19" s="7" customFormat="1" hidden="1" outlineLevel="2" collapsed="1" x14ac:dyDescent="0.2">
      <x:c r="A34" s="5"/>
      <x:c r="B34" s="45" t="inlineStr">
        <x:is>
          <x:t>J500</x:t>
        </x:is>
      </x:c>
      <x:c r="C34" s="46" t="inlineStr">
        <x:is>
          <x:t>Jankowski, Wojciech</x:t>
        </x:is>
      </x:c>
      <x:c r="D34" s="45" t="n">
        <x:v>50.4</x:v>
      </x:c>
      <x:c r="E34" s="19" t="n">
        <x:v>6.5</x:v>
      </x:c>
      <x:c r="F34" s="19" t="n">
        <x:f>MAX(D34-E34, 0)</x:f>
        <x:v>1</x:v>
      </x:c>
      <x:c r="G34" s="47" t="n">
        <x:f>IF(D34=0,0,ABS(E34/D34))</x:f>
        <x:v>0.5</x:v>
      </x:c>
      <x:c r="H34" s="72"/>
      <x:c r="I34" s="73"/>
      <x:c r="J34" s="73"/>
      <x:c r="K34" s="74"/>
      <x:c r="L34" s="19" t="n">
        <x:v>96</x:v>
      </x:c>
      <x:c r="M34" s="75"/>
      <x:c r="N34" s="73"/>
      <x:c r="O34" s="76"/>
      <x:c r="P34" s="29"/>
      <x:c r="Q34" s="30"/>
      <x:c r="R34" s="31"/>
      <x:c r="S34" s="31"/>
    </x:row>
    <x:row r="35" spans="1:19" s="7" customFormat="1" hidden="1" outlineLevel="2" collapsed="1" x14ac:dyDescent="0.2">
      <x:c r="A35" s="5"/>
      <x:c r="B35" s="45" t="inlineStr">
        <x:is>
          <x:t>J500</x:t>
        </x:is>
      </x:c>
      <x:c r="C35" s="46" t="inlineStr">
        <x:is>
          <x:t>Lemanska, Martyna</x:t>
        </x:is>
      </x:c>
      <x:c r="D35" s="45" t="n">
        <x:v>16.8</x:v>
      </x:c>
      <x:c r="E35" s="19" t="n">
        <x:v>0</x:v>
      </x:c>
      <x:c r="F35" s="19" t="n">
        <x:f>MAX(D35-E35, 0)</x:f>
        <x:v>1</x:v>
      </x:c>
      <x:c r="G35" s="47" t="n">
        <x:f>IF(D35=0,0,ABS(E35/D35))</x:f>
        <x:v>0.5</x:v>
      </x:c>
      <x:c r="H35" s="72"/>
      <x:c r="I35" s="73"/>
      <x:c r="J35" s="73"/>
      <x:c r="K35" s="74"/>
      <x:c r="L35" s="19" t="n">
        <x:v>0</x:v>
      </x:c>
      <x:c r="M35" s="75"/>
      <x:c r="N35" s="73"/>
      <x:c r="O35" s="76"/>
      <x:c r="P35" s="29"/>
      <x:c r="Q35" s="30"/>
      <x:c r="R35" s="31"/>
      <x:c r="S35" s="31"/>
    </x:row>
    <x:row r="36" spans="1:19" s="7" customFormat="1" hidden="1" outlineLevel="2" collapsed="1" x14ac:dyDescent="0.2">
      <x:c r="A36" s="5"/>
      <x:c r="B36" s="45" t="inlineStr">
        <x:is>
          <x:t>J500</x:t>
        </x:is>
      </x:c>
      <x:c r="C36" s="46" t="inlineStr">
        <x:is>
          <x:t>Podgorski, Mateusz</x:t>
        </x:is>
      </x:c>
      <x:c r="D36" s="45" t="n">
        <x:v>0</x:v>
      </x:c>
      <x:c r="E36" s="19" t="n">
        <x:v>2</x:v>
      </x:c>
      <x:c r="F36" s="19" t="n">
        <x:f>MAX(D36-E36, 0)</x:f>
        <x:v>1</x:v>
      </x:c>
      <x:c r="G36" s="47" t="n">
        <x:f>IF(D36=0,0,ABS(E36/D36))</x:f>
        <x:v>0.5</x:v>
      </x:c>
      <x:c r="H36" s="72"/>
      <x:c r="I36" s="73"/>
      <x:c r="J36" s="73"/>
      <x:c r="K36" s="74"/>
      <x:c r="L36" s="19" t="n">
        <x:v>100</x:v>
      </x:c>
      <x:c r="M36" s="57"/>
      <x:c r="N36" s="54"/>
      <x:c r="O36" s="71"/>
      <x:c r="P36" s="29"/>
      <x:c r="Q36" s="30"/>
      <x:c r="R36" s="31"/>
      <x:c r="S36" s="31"/>
    </x:row>
    <x:row r="37" spans="1:19" s="7" customFormat="1" outlineLevel="1" x14ac:dyDescent="0.2">
      <x:c r="A37" s="5"/>
      <x:c r="B37" s="58" t="inlineStr">
        <x:v>49</x:v>
        <x:is>
          <x:t>Total J500</x:t>
        </x:is>
      </x:c>
      <x:c r="C37" s="59"/>
      <x:c r="D37" s="58" t="n">
        <x:v>117.6</x:v>
      </x:c>
      <x:c r="E37" s="60" t="n">
        <x:v>95.5</x:v>
      </x:c>
      <x:c r="F37" s="60" t="n">
        <x:f>MAX(D37-E37, 0)</x:f>
        <x:v>1</x:v>
      </x:c>
      <x:c r="G37" s="61" t="n">
        <x:f>IF(D37=0,0,ABS(E37/D37))</x:f>
        <x:v>0.5</x:v>
      </x:c>
      <x:c r="H37" s="58" t="n">
        <x:v>582.15</x:v>
      </x:c>
      <x:c r="I37" s="60" t="n">
        <x:v>533.25</x:v>
      </x:c>
      <x:c r="J37" s="62" t="n">
        <x:f>IF(H37=0,"No plan at start",I37/H37)</x:f>
        <x:v>2</x:v>
      </x:c>
      <x:c r="K37" s="60" t="n">
        <x:f>MAX(H37-I37, 0)</x:f>
        <x:v>0</x:v>
      </x:c>
      <x:c r="L37" s="60" t="n">
        <x:v>268</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K094</x:t>
        </x:is>
      </x:c>
      <x:c r="C38" s="46" t="inlineStr">
        <x:is>
          <x:t>Celinski-Myslaw, Bartosz</x:t>
        </x:is>
      </x:c>
      <x:c r="D38" s="45" t="n">
        <x:v>0</x:v>
      </x:c>
      <x:c r="E38" s="19" t="n">
        <x:v>6</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K094</x:t>
        </x:is>
      </x:c>
      <x:c r="C39" s="46" t="inlineStr">
        <x:is>
          <x:t>Czaplejewicz, Seweryn</x:t>
        </x:is>
      </x:c>
      <x:c r="D39" s="45" t="n">
        <x:v>0</x:v>
      </x:c>
      <x:c r="E39" s="19" t="n">
        <x:v>1</x:v>
      </x:c>
      <x:c r="F39" s="19" t="n">
        <x:f>MAX(D39-E39, 0)</x:f>
        <x:v>1</x:v>
      </x:c>
      <x:c r="G39" s="47" t="n">
        <x:f>IF(D39=0,0,ABS(E39/D39))</x:f>
        <x:v>0.5</x:v>
      </x:c>
      <x:c r="H39" s="72"/>
      <x:c r="I39" s="73"/>
      <x:c r="J39" s="73"/>
      <x:c r="K39" s="74"/>
      <x:c r="L39" s="19" t="n">
        <x:v>0</x:v>
      </x:c>
      <x:c r="M39" s="57"/>
      <x:c r="N39" s="54"/>
      <x:c r="O39" s="71"/>
      <x:c r="P39" s="29"/>
      <x:c r="Q39" s="30"/>
      <x:c r="R39" s="31"/>
      <x:c r="S39" s="31"/>
    </x:row>
    <x:row r="40" spans="1:19" s="7" customFormat="1" outlineLevel="1" x14ac:dyDescent="0.2">
      <x:c r="A40" s="5"/>
      <x:c r="B40" s="58" t="inlineStr">
        <x:v>49</x:v>
        <x:is>
          <x:t>Total K094</x:t>
        </x:is>
      </x:c>
      <x:c r="C40" s="59"/>
      <x:c r="D40" s="58" t="n">
        <x:v>0</x:v>
      </x:c>
      <x:c r="E40" s="60" t="n">
        <x:v>7</x:v>
      </x:c>
      <x:c r="F40" s="60" t="n">
        <x:f>MAX(D40-E40, 0)</x:f>
        <x:v>1</x:v>
      </x:c>
      <x:c r="G40" s="61" t="n">
        <x:f>IF(D40=0,0,ABS(E40/D40))</x:f>
        <x:v>0.5</x:v>
      </x:c>
      <x:c r="H40" s="58" t="n">
        <x:v>0</x:v>
      </x:c>
      <x:c r="I40" s="60" t="n">
        <x:v>3800.75</x:v>
      </x:c>
      <x:c r="J40" s="62" t="n">
        <x:f>IF(H40=0,"No plan at start",I40/H40)</x:f>
        <x:v>2</x:v>
      </x:c>
      <x:c r="K40" s="60" t="n">
        <x:f>MAX(H40-I40, 0)</x:f>
        <x:v>0</x:v>
      </x:c>
      <x:c r="L40" s="60" t="n">
        <x:v>0</x:v>
      </x:c>
      <x:c r="M40" s="60" t="n">
        <x:f>I40+L40</x:f>
        <x:v>3</x:v>
      </x:c>
      <x:c r="N40" s="60" t="n">
        <x:f>M40-H40</x:f>
        <x:v>2</x:v>
      </x:c>
      <x:c r="O40" s="61" t="n">
        <x:f>IF(H40=0,"No plan at start",M40/H40)</x:f>
        <x:v>3</x:v>
      </x:c>
      <x:c r="P40" s="29"/>
      <x:c r="Q40" s="30"/>
      <x:c r="R40" s="31"/>
      <x:c r="S40" s="31"/>
    </x:row>
    <x:row r="41" spans="1:19" s="7" customFormat="1" hidden="1" outlineLevel="2" collapsed="1" x14ac:dyDescent="0.2">
      <x:c r="A41" s="5"/>
      <x:c r="B41" s="45" t="inlineStr">
        <x:is>
          <x:t>K325</x:t>
        </x:is>
      </x:c>
      <x:c r="C41" s="46" t="inlineStr">
        <x:is>
          <x:t>Szczesny, Damian</x:t>
        </x:is>
      </x:c>
      <x:c r="D41" s="45" t="n">
        <x:v>0</x:v>
      </x:c>
      <x:c r="E41" s="19" t="n">
        <x:v>9.25</x:v>
      </x:c>
      <x:c r="F41" s="19" t="n">
        <x:f>MAX(D41-E41, 0)</x:f>
        <x:v>1</x:v>
      </x:c>
      <x:c r="G41" s="47" t="n">
        <x:f>IF(D41=0,0,ABS(E41/D41))</x:f>
        <x:v>0.5</x:v>
      </x:c>
      <x:c r="H41" s="52"/>
      <x:c r="I41" s="50"/>
      <x:c r="J41" s="50"/>
      <x:c r="K41" s="51"/>
      <x:c r="L41" s="19" t="n">
        <x:v>0</x:v>
      </x:c>
      <x:c r="M41" s="56"/>
      <x:c r="N41" s="50"/>
      <x:c r="O41" s="70"/>
      <x:c r="P41" s="29"/>
      <x:c r="Q41" s="30"/>
      <x:c r="R41" s="31"/>
      <x:c r="S41" s="31"/>
    </x:row>
    <x:row r="42" spans="1:19" s="7" customFormat="1" outlineLevel="1" x14ac:dyDescent="0.2">
      <x:c r="A42" s="5"/>
      <x:c r="B42" s="58" t="inlineStr">
        <x:v>49</x:v>
        <x:is>
          <x:t>Total K325</x:t>
        </x:is>
      </x:c>
      <x:c r="C42" s="59"/>
      <x:c r="D42" s="58" t="n">
        <x:v>0</x:v>
      </x:c>
      <x:c r="E42" s="60" t="n">
        <x:v>9.25</x:v>
      </x:c>
      <x:c r="F42" s="60" t="n">
        <x:f>MAX(D42-E42, 0)</x:f>
        <x:v>1</x:v>
      </x:c>
      <x:c r="G42" s="61" t="n">
        <x:f>IF(D42=0,0,ABS(E42/D42))</x:f>
        <x:v>0.5</x:v>
      </x:c>
      <x:c r="H42" s="58" t="n">
        <x:v>0</x:v>
      </x:c>
      <x:c r="I42" s="60" t="n">
        <x:v>243.25</x:v>
      </x:c>
      <x:c r="J42" s="62" t="n">
        <x:f>IF(H42=0,"No plan at start",I42/H42)</x:f>
        <x:v>2</x:v>
      </x:c>
      <x:c r="K42" s="60" t="n">
        <x:f>MAX(H42-I42, 0)</x:f>
        <x:v>0</x:v>
      </x:c>
      <x:c r="L42" s="60" t="n">
        <x:v>0</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K358</x:t>
        </x:is>
      </x:c>
      <x:c r="C43" s="46" t="inlineStr">
        <x:is>
          <x:t>Czaplejewicz, Seweryn</x:t>
        </x:is>
      </x:c>
      <x:c r="D43" s="45" t="n">
        <x:v>0</x:v>
      </x:c>
      <x:c r="E43" s="19" t="n">
        <x:v>3</x:v>
      </x:c>
      <x:c r="F43" s="19" t="n">
        <x:f>MAX(D43-E43, 0)</x:f>
        <x:v>1</x:v>
      </x:c>
      <x:c r="G43" s="47" t="n">
        <x:f>IF(D43=0,0,ABS(E43/D43))</x:f>
        <x:v>0.5</x:v>
      </x:c>
      <x:c r="H43" s="52"/>
      <x:c r="I43" s="50"/>
      <x:c r="J43" s="50"/>
      <x:c r="K43" s="51"/>
      <x:c r="L43" s="19" t="n">
        <x:v>0</x:v>
      </x:c>
      <x:c r="M43" s="56"/>
      <x:c r="N43" s="50"/>
      <x:c r="O43" s="70"/>
      <x:c r="P43" s="29"/>
      <x:c r="Q43" s="30"/>
      <x:c r="R43" s="31"/>
      <x:c r="S43" s="31"/>
    </x:row>
    <x:row r="44" spans="1:19" s="7" customFormat="1" hidden="1" outlineLevel="2" collapsed="1" x14ac:dyDescent="0.2">
      <x:c r="A44" s="5"/>
      <x:c r="B44" s="45" t="inlineStr">
        <x:is>
          <x:t>K358</x:t>
        </x:is>
      </x:c>
      <x:c r="C44" s="46" t="inlineStr">
        <x:is>
          <x:t>Jankowski, Wojciech</x:t>
        </x:is>
      </x:c>
      <x:c r="D44" s="45" t="n">
        <x:v>0</x:v>
      </x:c>
      <x:c r="E44" s="19" t="n">
        <x:v>12</x:v>
      </x:c>
      <x:c r="F44" s="19" t="n">
        <x:f>MAX(D44-E44, 0)</x:f>
        <x:v>1</x:v>
      </x:c>
      <x:c r="G44" s="47" t="n">
        <x:f>IF(D44=0,0,ABS(E44/D44))</x:f>
        <x:v>0.5</x:v>
      </x:c>
      <x:c r="H44" s="72"/>
      <x:c r="I44" s="73"/>
      <x:c r="J44" s="73"/>
      <x:c r="K44" s="74"/>
      <x:c r="L44" s="19" t="n">
        <x:v>0</x:v>
      </x:c>
      <x:c r="M44" s="57"/>
      <x:c r="N44" s="54"/>
      <x:c r="O44" s="71"/>
      <x:c r="P44" s="29"/>
      <x:c r="Q44" s="30"/>
      <x:c r="R44" s="31"/>
      <x:c r="S44" s="31"/>
    </x:row>
    <x:row r="45" spans="1:19" s="7" customFormat="1" outlineLevel="1" x14ac:dyDescent="0.2">
      <x:c r="A45" s="5"/>
      <x:c r="B45" s="58" t="inlineStr">
        <x:v>49</x:v>
        <x:is>
          <x:t>Total K358</x:t>
        </x:is>
      </x:c>
      <x:c r="C45" s="59"/>
      <x:c r="D45" s="58" t="n">
        <x:v>0</x:v>
      </x:c>
      <x:c r="E45" s="60" t="n">
        <x:v>15</x:v>
      </x:c>
      <x:c r="F45" s="60" t="n">
        <x:f>MAX(D45-E45, 0)</x:f>
        <x:v>1</x:v>
      </x:c>
      <x:c r="G45" s="61" t="n">
        <x:f>IF(D45=0,0,ABS(E45/D45))</x:f>
        <x:v>0.5</x:v>
      </x:c>
      <x:c r="H45" s="58" t="n">
        <x:v>0</x:v>
      </x:c>
      <x:c r="I45" s="60" t="n">
        <x:v>51</x:v>
      </x:c>
      <x:c r="J45" s="62" t="n">
        <x:f>IF(H45=0,"No plan at start",I45/H45)</x:f>
        <x:v>2</x:v>
      </x:c>
      <x:c r="K45" s="60" t="n">
        <x:f>MAX(H45-I45, 0)</x:f>
        <x:v>0</x:v>
      </x:c>
      <x:c r="L45" s="60" t="n">
        <x:v>0</x:v>
      </x:c>
      <x:c r="M45" s="60" t="n">
        <x:f>I45+L45</x:f>
        <x:v>3</x:v>
      </x:c>
      <x:c r="N45" s="60" t="n">
        <x:f>M45-H45</x:f>
        <x:v>2</x:v>
      </x:c>
      <x:c r="O45" s="61" t="n">
        <x:f>IF(H45=0,"No plan at start",M45/H45)</x:f>
        <x:v>3</x:v>
      </x:c>
      <x:c r="P45" s="29"/>
      <x:c r="Q45" s="30"/>
      <x:c r="R45" s="31"/>
      <x:c r="S45" s="31"/>
    </x:row>
    <x:row r="46" spans="1:19" s="7" customFormat="1" hidden="1" outlineLevel="2" collapsed="1" x14ac:dyDescent="0.2">
      <x:c r="A46" s="5"/>
      <x:c r="B46" s="45" t="inlineStr">
        <x:is>
          <x:t>N386</x:t>
        </x:is>
      </x:c>
      <x:c r="C46" s="46" t="inlineStr">
        <x:is>
          <x:t>Podgorski, Mateusz</x:t>
        </x:is>
      </x:c>
      <x:c r="D46" s="45" t="n">
        <x:v>15.4</x:v>
      </x:c>
      <x:c r="E46" s="19" t="n">
        <x:v>0</x:v>
      </x:c>
      <x:c r="F46" s="19" t="n">
        <x:f>MAX(D46-E46, 0)</x:f>
        <x:v>1</x:v>
      </x:c>
      <x:c r="G46" s="47" t="n">
        <x:f>IF(D46=0,0,ABS(E46/D46))</x:f>
        <x:v>0.5</x:v>
      </x:c>
      <x:c r="H46" s="52"/>
      <x:c r="I46" s="50"/>
      <x:c r="J46" s="50"/>
      <x:c r="K46" s="51"/>
      <x:c r="L46" s="19" t="n">
        <x:v>35</x:v>
      </x:c>
      <x:c r="M46" s="56"/>
      <x:c r="N46" s="50"/>
      <x:c r="O46" s="70"/>
      <x:c r="P46" s="29"/>
      <x:c r="Q46" s="30"/>
      <x:c r="R46" s="31"/>
      <x:c r="S46" s="31"/>
    </x:row>
    <x:row r="47" spans="1:19" s="7" customFormat="1" outlineLevel="1" x14ac:dyDescent="0.2">
      <x:c r="A47" s="5"/>
      <x:c r="B47" s="58" t="inlineStr">
        <x:v>49</x:v>
        <x:is>
          <x:t>Total N386</x:t>
        </x:is>
      </x:c>
      <x:c r="C47" s="59"/>
      <x:c r="D47" s="58" t="n">
        <x:v>15.4</x:v>
      </x:c>
      <x:c r="E47" s="60" t="n">
        <x:v>0</x:v>
      </x:c>
      <x:c r="F47" s="60" t="n">
        <x:f>MAX(D47-E47, 0)</x:f>
        <x:v>1</x:v>
      </x:c>
      <x:c r="G47" s="61" t="n">
        <x:f>IF(D47=0,0,ABS(E47/D47))</x:f>
        <x:v>0.5</x:v>
      </x:c>
      <x:c r="H47" s="58" t="n">
        <x:v>0</x:v>
      </x:c>
      <x:c r="I47" s="60" t="n">
        <x:v>18.00</x:v>
      </x:c>
      <x:c r="J47" s="62" t="n">
        <x:f>IF(H47=0,"No plan at start",I47/H47)</x:f>
        <x:v>2</x:v>
      </x:c>
      <x:c r="K47" s="60" t="n">
        <x:f>MAX(H47-I47, 0)</x:f>
        <x:v>0</x:v>
      </x:c>
      <x:c r="L47" s="60" t="n">
        <x:v>35</x:v>
      </x:c>
      <x:c r="M47" s="60" t="n">
        <x:f>I47+L47</x:f>
        <x:v>3</x:v>
      </x:c>
      <x:c r="N47" s="60" t="n">
        <x:f>M47-H47</x:f>
        <x:v>2</x:v>
      </x:c>
      <x:c r="O47" s="61" t="n">
        <x:f>IF(H47=0,"No plan at start",M47/H47)</x:f>
        <x:v>3</x:v>
      </x:c>
      <x:c r="P47" s="29"/>
      <x:c r="Q47" s="30"/>
      <x:c r="R47" s="31"/>
      <x:c r="S47" s="31"/>
    </x:row>
    <x:row r="48" spans="1:19" s="7" customFormat="1" hidden="1" outlineLevel="2" collapsed="1" x14ac:dyDescent="0.2">
      <x:c r="A48" s="5"/>
      <x:c r="B48" s="45" t="inlineStr">
        <x:is>
          <x:t>N694</x:t>
        </x:is>
      </x:c>
      <x:c r="C48" s="46" t="inlineStr">
        <x:is>
          <x:t>Jankowski, Wojciech</x:t>
        </x:is>
      </x:c>
      <x:c r="D48" s="45" t="n">
        <x:v>0</x:v>
      </x:c>
      <x:c r="E48" s="19" t="n">
        <x:v>0</x:v>
      </x:c>
      <x:c r="F48" s="19" t="n">
        <x:f>MAX(D48-E48, 0)</x:f>
        <x:v>1</x:v>
      </x:c>
      <x:c r="G48" s="47" t="n">
        <x:f>IF(D48=0,0,ABS(E48/D48))</x:f>
        <x:v>0.5</x:v>
      </x:c>
      <x:c r="H48" s="52"/>
      <x:c r="I48" s="50"/>
      <x:c r="J48" s="50"/>
      <x:c r="K48" s="51"/>
      <x:c r="L48" s="19" t="n">
        <x:v>63.67</x:v>
      </x:c>
      <x:c r="M48" s="56"/>
      <x:c r="N48" s="50"/>
      <x:c r="O48" s="70"/>
      <x:c r="P48" s="29"/>
      <x:c r="Q48" s="30"/>
      <x:c r="R48" s="31"/>
      <x:c r="S48" s="31"/>
    </x:row>
    <x:row r="49" spans="1:19" s="7" customFormat="1" hidden="1" outlineLevel="2" collapsed="1" x14ac:dyDescent="0.2">
      <x:c r="A49" s="5"/>
      <x:c r="B49" s="45" t="inlineStr">
        <x:is>
          <x:t>N694</x:t>
        </x:is>
      </x:c>
      <x:c r="C49" s="46" t="inlineStr">
        <x:is>
          <x:t>Pakulak, Przemyslaw</x:t>
        </x:is>
      </x:c>
      <x:c r="D49" s="45" t="n">
        <x:v>31.85</x:v>
      </x:c>
      <x:c r="E49" s="19" t="n">
        <x:v>0</x:v>
      </x:c>
      <x:c r="F49" s="19" t="n">
        <x:f>MAX(D49-E49, 0)</x:f>
        <x:v>1</x:v>
      </x:c>
      <x:c r="G49" s="47" t="n">
        <x:f>IF(D49=0,0,ABS(E49/D49))</x:f>
        <x:v>0.5</x:v>
      </x:c>
      <x:c r="H49" s="72"/>
      <x:c r="I49" s="73"/>
      <x:c r="J49" s="73"/>
      <x:c r="K49" s="74"/>
      <x:c r="L49" s="19" t="n">
        <x:v>223.07</x:v>
      </x:c>
      <x:c r="M49" s="57"/>
      <x:c r="N49" s="54"/>
      <x:c r="O49" s="71"/>
      <x:c r="P49" s="29"/>
      <x:c r="Q49" s="30"/>
      <x:c r="R49" s="31"/>
      <x:c r="S49" s="31"/>
    </x:row>
    <x:row r="50" spans="1:19" s="7" customFormat="1" outlineLevel="1" x14ac:dyDescent="0.2">
      <x:c r="A50" s="5"/>
      <x:c r="B50" s="58" t="inlineStr">
        <x:v>49</x:v>
        <x:is>
          <x:t>Total N694</x:t>
        </x:is>
      </x:c>
      <x:c r="C50" s="59"/>
      <x:c r="D50" s="58" t="n">
        <x:v>31.85</x:v>
      </x:c>
      <x:c r="E50" s="60" t="n">
        <x:v>0</x:v>
      </x:c>
      <x:c r="F50" s="60" t="n">
        <x:f>MAX(D50-E50, 0)</x:f>
        <x:v>1</x:v>
      </x:c>
      <x:c r="G50" s="61" t="n">
        <x:f>IF(D50=0,0,ABS(E50/D50))</x:f>
        <x:v>0.5</x:v>
      </x:c>
      <x:c r="H50" s="58" t="n">
        <x:v>0</x:v>
      </x:c>
      <x:c r="I50" s="60" t="n">
        <x:v>0</x:v>
      </x:c>
      <x:c r="J50" s="62" t="n">
        <x:f>IF(H50=0,"No plan at start",I50/H50)</x:f>
        <x:v>2</x:v>
      </x:c>
      <x:c r="K50" s="60" t="n">
        <x:f>MAX(H50-I50, 0)</x:f>
        <x:v>0</x:v>
      </x:c>
      <x:c r="L50" s="60" t="n">
        <x:v>286.74</x:v>
      </x:c>
      <x:c r="M50" s="60" t="n">
        <x:f>I50+L50</x:f>
        <x:v>3</x:v>
      </x:c>
      <x:c r="N50" s="60" t="n">
        <x:f>M50-H50</x:f>
        <x:v>2</x:v>
      </x:c>
      <x:c r="O50" s="61" t="n">
        <x:f>IF(H50=0,"No plan at start",M50/H50)</x:f>
        <x:v>3</x:v>
      </x:c>
      <x:c r="P50" s="29"/>
      <x:c r="Q50" s="30"/>
      <x:c r="R50" s="31"/>
      <x:c r="S50" s="31"/>
    </x:row>
    <x:row r="51" spans="1:19" s="7" customFormat="1" hidden="1" outlineLevel="2" collapsed="1" x14ac:dyDescent="0.2">
      <x:c r="A51" s="5"/>
      <x:c r="B51" s="45" t="inlineStr">
        <x:is>
          <x:t>N706</x:t>
        </x:is>
      </x:c>
      <x:c r="C51" s="46" t="inlineStr">
        <x:is>
          <x:t>Szczesny, Damian</x:t>
        </x:is>
      </x:c>
      <x:c r="D51" s="45" t="n">
        <x:v>0</x:v>
      </x:c>
      <x:c r="E51" s="19" t="n">
        <x:v>1.5</x:v>
      </x:c>
      <x:c r="F51" s="19" t="n">
        <x:f>MAX(D51-E51, 0)</x:f>
        <x:v>1</x:v>
      </x:c>
      <x:c r="G51" s="47" t="n">
        <x:f>IF(D51=0,0,ABS(E51/D51))</x:f>
        <x:v>0.5</x:v>
      </x:c>
      <x:c r="H51" s="52"/>
      <x:c r="I51" s="50"/>
      <x:c r="J51" s="50"/>
      <x:c r="K51" s="51"/>
      <x:c r="L51" s="19" t="n">
        <x:v>0</x:v>
      </x:c>
      <x:c r="M51" s="56"/>
      <x:c r="N51" s="50"/>
      <x:c r="O51" s="70"/>
      <x:c r="P51" s="29"/>
      <x:c r="Q51" s="30"/>
      <x:c r="R51" s="31"/>
      <x:c r="S51" s="31"/>
    </x:row>
    <x:row r="52" spans="1:19" s="7" customFormat="1" outlineLevel="1" x14ac:dyDescent="0.2">
      <x:c r="A52" s="5"/>
      <x:c r="B52" s="58" t="inlineStr">
        <x:v>49</x:v>
        <x:is>
          <x:t>Total N706</x:t>
        </x:is>
      </x:c>
      <x:c r="C52" s="59"/>
      <x:c r="D52" s="58" t="n">
        <x:v>0</x:v>
      </x:c>
      <x:c r="E52" s="60" t="n">
        <x:v>1.5</x:v>
      </x:c>
      <x:c r="F52" s="60" t="n">
        <x:f>MAX(D52-E52, 0)</x:f>
        <x:v>1</x:v>
      </x:c>
      <x:c r="G52" s="61" t="n">
        <x:f>IF(D52=0,0,ABS(E52/D52))</x:f>
        <x:v>0.5</x:v>
      </x:c>
      <x:c r="H52" s="58" t="n">
        <x:v>0</x:v>
      </x:c>
      <x:c r="I52" s="60" t="n">
        <x:v>40.0</x:v>
      </x:c>
      <x:c r="J52" s="62" t="n">
        <x:f>IF(H52=0,"No plan at start",I52/H52)</x:f>
        <x:v>2</x:v>
      </x:c>
      <x:c r="K52" s="60" t="n">
        <x:f>MAX(H52-I52, 0)</x:f>
        <x:v>0</x:v>
      </x:c>
      <x:c r="L52" s="60" t="n">
        <x:v>0</x:v>
      </x:c>
      <x:c r="M52" s="60" t="n">
        <x:f>I52+L52</x:f>
        <x:v>3</x:v>
      </x:c>
      <x:c r="N52" s="60" t="n">
        <x:f>M52-H52</x:f>
        <x:v>2</x:v>
      </x:c>
      <x:c r="O52" s="61" t="n">
        <x:f>IF(H52=0,"No plan at start",M52/H52)</x:f>
        <x:v>3</x:v>
      </x:c>
      <x:c r="P52" s="29"/>
      <x:c r="Q52" s="30"/>
      <x:c r="R52" s="31"/>
      <x:c r="S52" s="31"/>
    </x:row>
    <x:row r="53" spans="1:19" s="7" customFormat="1" hidden="1" outlineLevel="2" collapsed="1" x14ac:dyDescent="0.2">
      <x:c r="A53" s="5"/>
      <x:c r="B53" s="45" t="inlineStr">
        <x:is>
          <x:t>N707</x:t>
        </x:is>
      </x:c>
      <x:c r="C53" s="46" t="inlineStr">
        <x:is>
          <x:t>Jankowski, Wojciech</x:t>
        </x:is>
      </x:c>
      <x:c r="D53" s="45" t="n">
        <x:v>0</x:v>
      </x:c>
      <x:c r="E53" s="19" t="n">
        <x:v>43.50</x:v>
      </x:c>
      <x:c r="F53" s="19" t="n">
        <x:f>MAX(D53-E53, 0)</x:f>
        <x:v>1</x:v>
      </x:c>
      <x:c r="G53" s="47" t="n">
        <x:f>IF(D53=0,0,ABS(E53/D53))</x:f>
        <x:v>0.5</x:v>
      </x:c>
      <x:c r="H53" s="52"/>
      <x:c r="I53" s="50"/>
      <x:c r="J53" s="50"/>
      <x:c r="K53" s="51"/>
      <x:c r="L53" s="19" t="n">
        <x:v>0</x:v>
      </x:c>
      <x:c r="M53" s="56"/>
      <x:c r="N53" s="50"/>
      <x:c r="O53" s="70"/>
      <x:c r="P53" s="29"/>
      <x:c r="Q53" s="30"/>
      <x:c r="R53" s="31"/>
      <x:c r="S53" s="31"/>
    </x:row>
    <x:row r="54" spans="1:19" s="7" customFormat="1" hidden="1" outlineLevel="2" collapsed="1" x14ac:dyDescent="0.2">
      <x:c r="A54" s="5"/>
      <x:c r="B54" s="45" t="inlineStr">
        <x:is>
          <x:t>N707</x:t>
        </x:is>
      </x:c>
      <x:c r="C54" s="46" t="inlineStr">
        <x:is>
          <x:t>Szczesny, Damian</x:t>
        </x:is>
      </x:c>
      <x:c r="D54" s="45" t="n">
        <x:v>0</x:v>
      </x:c>
      <x:c r="E54" s="19" t="n">
        <x:v>60.25</x:v>
      </x:c>
      <x:c r="F54" s="19" t="n">
        <x:f>MAX(D54-E54, 0)</x:f>
        <x:v>1</x:v>
      </x:c>
      <x:c r="G54" s="47" t="n">
        <x:f>IF(D54=0,0,ABS(E54/D54))</x:f>
        <x:v>0.5</x:v>
      </x:c>
      <x:c r="H54" s="72"/>
      <x:c r="I54" s="73"/>
      <x:c r="J54" s="73"/>
      <x:c r="K54" s="74"/>
      <x:c r="L54" s="19" t="n">
        <x:v>0</x:v>
      </x:c>
      <x:c r="M54" s="57"/>
      <x:c r="N54" s="54"/>
      <x:c r="O54" s="71"/>
      <x:c r="P54" s="29"/>
      <x:c r="Q54" s="30"/>
      <x:c r="R54" s="31"/>
      <x:c r="S54" s="31"/>
    </x:row>
    <x:row r="55" spans="1:19" s="7" customFormat="1" outlineLevel="1" x14ac:dyDescent="0.2">
      <x:c r="A55" s="5"/>
      <x:c r="B55" s="58" t="inlineStr">
        <x:v>49</x:v>
        <x:is>
          <x:t>Total N707</x:t>
        </x:is>
      </x:c>
      <x:c r="C55" s="59"/>
      <x:c r="D55" s="58" t="n">
        <x:v>0</x:v>
      </x:c>
      <x:c r="E55" s="60" t="n">
        <x:v>103.75</x:v>
      </x:c>
      <x:c r="F55" s="60" t="n">
        <x:f>MAX(D55-E55, 0)</x:f>
        <x:v>1</x:v>
      </x:c>
      <x:c r="G55" s="61" t="n">
        <x:f>IF(D55=0,0,ABS(E55/D55))</x:f>
        <x:v>0.5</x:v>
      </x:c>
      <x:c r="H55" s="58" t="n">
        <x:v>0</x:v>
      </x:c>
      <x:c r="I55" s="60" t="n">
        <x:v>377.50</x:v>
      </x:c>
      <x:c r="J55" s="62" t="n">
        <x:f>IF(H55=0,"No plan at start",I55/H55)</x:f>
        <x:v>2</x:v>
      </x:c>
      <x:c r="K55" s="60" t="n">
        <x:f>MAX(H55-I55, 0)</x:f>
        <x:v>0</x:v>
      </x:c>
      <x:c r="L55" s="60" t="n">
        <x:v>0</x:v>
      </x:c>
      <x:c r="M55" s="60" t="n">
        <x:f>I55+L55</x:f>
        <x:v>3</x:v>
      </x:c>
      <x:c r="N55" s="60" t="n">
        <x:f>M55-H55</x:f>
        <x:v>2</x:v>
      </x:c>
      <x:c r="O55" s="61" t="n">
        <x:f>IF(H55=0,"No plan at start",M55/H55)</x:f>
        <x:v>3</x:v>
      </x:c>
      <x:c r="P55" s="29"/>
      <x:c r="Q55" s="30"/>
      <x:c r="R55" s="31"/>
      <x:c r="S55" s="31"/>
    </x:row>
    <x:row r="56" spans="1:19" s="7" customFormat="1" hidden="1" outlineLevel="2" collapsed="1" x14ac:dyDescent="0.2">
      <x:c r="A56" s="5"/>
      <x:c r="B56" s="45" t="inlineStr">
        <x:is>
          <x:t>O167</x:t>
        </x:is>
      </x:c>
      <x:c r="C56" s="46" t="inlineStr">
        <x:is>
          <x:t>Podgorski, Mateusz</x:t>
        </x:is>
      </x:c>
      <x:c r="D56" s="45" t="n">
        <x:v>0</x:v>
      </x:c>
      <x:c r="E56" s="19" t="n">
        <x:v>0</x:v>
      </x:c>
      <x:c r="F56" s="19" t="n">
        <x:f>MAX(D56-E56, 0)</x:f>
        <x:v>1</x:v>
      </x:c>
      <x:c r="G56" s="47" t="n">
        <x:f>IF(D56=0,0,ABS(E56/D56))</x:f>
        <x:v>0.5</x:v>
      </x:c>
      <x:c r="H56" s="52"/>
      <x:c r="I56" s="50"/>
      <x:c r="J56" s="50"/>
      <x:c r="K56" s="51"/>
      <x:c r="L56" s="19" t="n">
        <x:v>42</x:v>
      </x:c>
      <x:c r="M56" s="56"/>
      <x:c r="N56" s="50"/>
      <x:c r="O56" s="70"/>
      <x:c r="P56" s="29"/>
      <x:c r="Q56" s="30"/>
      <x:c r="R56" s="31"/>
      <x:c r="S56" s="31"/>
    </x:row>
    <x:row r="57" spans="1:19" s="7" customFormat="1" ht="13.5" outlineLevel="1" thickBot="1" x14ac:dyDescent="0.25">
      <x:c r="A57" s="5"/>
      <x:c r="B57" s="63" t="inlineStr">
        <x:v>49</x:v>
        <x:is>
          <x:t>Total O167</x:t>
        </x:is>
      </x:c>
      <x:c r="C57" s="64"/>
      <x:c r="D57" s="63" t="n">
        <x:v>0</x:v>
      </x:c>
      <x:c r="E57" s="65" t="n">
        <x:v>0</x:v>
      </x:c>
      <x:c r="F57" s="65" t="n">
        <x:f>MAX(D57-E57, 0)</x:f>
        <x:v>0</x:v>
      </x:c>
      <x:c r="G57" s="66" t="n">
        <x:f>IF(D57=0,0,ABS(E57/D57))</x:f>
        <x:v>0</x:v>
      </x:c>
      <x:c r="H57" s="63" t="n">
        <x:v>0</x:v>
      </x:c>
      <x:c r="I57" s="65" t="n">
        <x:v>0</x:v>
      </x:c>
      <x:c r="J57" s="67" t="n">
        <x:f>IF(H57=0,"No plan at start",I57/H57)</x:f>
        <x:v>0.5</x:v>
      </x:c>
      <x:c r="K57" s="65" t="n">
        <x:f>MAX(H57-I57, 0)</x:f>
        <x:v>1</x:v>
      </x:c>
      <x:c r="L57" s="65" t="n">
        <x:v>42</x:v>
      </x:c>
      <x:c r="M57" s="65" t="n">
        <x:f>I57+L57</x:f>
        <x:v>6</x:v>
      </x:c>
      <x:c r="N57" s="65" t="n">
        <x:f>M57-H57</x:f>
        <x:v>4</x:v>
      </x:c>
      <x:c r="O57" s="66" t="n">
        <x:f>IF(H57=0,"No plan at start",M57/H57)</x:f>
        <x:v>3</x:v>
      </x:c>
      <x:c r="P57" s="29"/>
      <x:c r="Q57" s="30"/>
      <x:c r="R57" s="31"/>
      <x:c r="S57" s="31"/>
    </x:row>
    <x:row r="58" x14ac:dyDescent="0.2"/>
    <x:row r="59" x14ac:dyDescent="0.2"/>
    <x:row r="60" spans="1:19" x14ac:dyDescent="0.2">
      <x:c r="B60" s="14" t="s">
        <x:v>30</x:v>
      </x:c>
      <x:c r="C60" s="15"/>
      <x:c r="D60" s="15"/>
      <x:c r="E60" s="15"/>
      <x:c r="F60" s="16"/>
      <x:c r="G60" s="16"/>
      <x:c r="H60" s="17"/>
      <x:c r="I60" s="7"/>
      <x:c r="J60" s="7"/>
      <x:c r="K60" s="18"/>
      <x:c r="L60" s="7"/>
      <x:c r="M60" s="25"/>
      <x:c r="N60" s="7"/>
      <x:c r="O60" s="7"/>
    </x:row>
    <x:row r="61" spans="1:19" ht="13.5" thickBot="1" x14ac:dyDescent="0.25">
      <x:c r="B61" s="7"/>
      <x:c r="C61" s="7"/>
      <x:c r="D61" s="7"/>
      <x:c r="E61" s="7"/>
      <x:c r="F61" s="7"/>
      <x:c r="G61" s="7"/>
      <x:c r="H61" s="7"/>
      <x:c r="I61" s="7"/>
      <x:c r="J61" s="7"/>
      <x:c r="K61" s="7"/>
      <x:c r="L61" s="7"/>
      <x:c r="M61" s="7"/>
      <x:c r="N61" s="7"/>
      <x:c r="O61" s="7"/>
    </x:row>
    <x:row r="62" spans="1:19" x14ac:dyDescent="0.2">
      <x:c r="B62" s="48"/>
      <x:c r="C62" s="49"/>
      <x:c r="D62" s="77" t="s">
        <x:v>39</x:v>
      </x:c>
      <x:c r="E62" s="78"/>
      <x:c r="F62" s="78"/>
      <x:c r="G62" s="79"/>
      <x:c r="H62" s="77" t="s">
        <x:v>40</x:v>
      </x:c>
      <x:c r="I62" s="78"/>
      <x:c r="J62" s="78"/>
      <x:c r="K62" s="78"/>
      <x:c r="L62" s="78"/>
      <x:c r="M62" s="78"/>
      <x:c r="N62" s="78"/>
      <x:c r="O62" s="79"/>
    </x:row>
    <x:row r="63" spans="1:19" x14ac:dyDescent="0.2">
      <x:c r="B63" s="68"/>
      <x:c r="C63" s="69"/>
      <x:c r="D63" s="36" t="s">
        <x:v>2</x:v>
      </x:c>
      <x:c r="E63" s="38" t="s">
        <x:v>3</x:v>
      </x:c>
      <x:c r="F63" s="38" t="s">
        <x:v>44</x:v>
      </x:c>
      <x:c r="G63" s="37" t="s">
        <x:v>41</x:v>
      </x:c>
      <x:c r="H63" s="36" t="s">
        <x:v>20</x:v>
      </x:c>
      <x:c r="I63" s="38" t="s">
        <x:v>34</x:v>
      </x:c>
      <x:c r="J63" s="39" t="s">
        <x:v>35</x:v>
      </x:c>
      <x:c r="K63" s="39" t="s">
        <x:v>36</x:v>
      </x:c>
      <x:c r="L63" s="38" t="s">
        <x:v>19</x:v>
      </x:c>
      <x:c r="M63" s="38" t="s">
        <x:v>37</x:v>
      </x:c>
      <x:c r="N63" s="38" t="s">
        <x:v>22</x:v>
      </x:c>
      <x:c r="O63" s="37" t="s">
        <x:v>23</x:v>
      </x:c>
    </x:row>
    <x:row r="64" spans="1:19" ht="76.5" x14ac:dyDescent="0.2">
      <x:c r="B64" s="40" t="s">
        <x:v>14</x:v>
      </x:c>
      <x:c r="C64" s="41" t="s">
        <x:v>28</x:v>
      </x:c>
      <x:c r="D64" s="40" t="s">
        <x:v>45</x:v>
      </x:c>
      <x:c r="E64" s="42" t="s">
        <x:v>15</x:v>
      </x:c>
      <x:c r="F64" s="42" t="s">
        <x:v>42</x:v>
      </x:c>
      <x:c r="G64" s="41" t="s">
        <x:v>43</x:v>
      </x:c>
      <x:c r="H64" s="40" t="s">
        <x:v>46</x:v>
      </x:c>
      <x:c r="I64" s="42" t="s">
        <x:v>31</x:v>
      </x:c>
      <x:c r="J64" s="43" t="s">
        <x:v>47</x:v>
      </x:c>
      <x:c r="K64" s="43" t="s">
        <x:v>17</x:v>
      </x:c>
      <x:c r="L64" s="42" t="s">
        <x:v>48</x:v>
      </x:c>
      <x:c r="M64" s="42" t="s">
        <x:v>32</x:v>
      </x:c>
      <x:c r="N64" s="42" t="s">
        <x:v>33</x:v>
      </x:c>
      <x:c r="O64" s="41" t="s">
        <x:v>24</x:v>
      </x:c>
    </x:row>
    <x:row r="65" spans="1:19" hidden="1" outlineLevel="2" collapsed="1" x14ac:dyDescent="0.2">
      <x:c r="B65" s="45" t="inlineStr">
        <x:is>
          <x:t>E872</x:t>
        </x:is>
      </x:c>
      <x:c r="C65" s="46" t="inlineStr">
        <x:is>
          <x:t>Celinski-Myslaw, Bartosz</x:t>
        </x:is>
      </x:c>
      <x:c r="D65" s="45" t="n">
        <x:v>1092</x:v>
      </x:c>
      <x:c r="E65" s="19" t="n">
        <x:v>1300</x:v>
      </x:c>
      <x:c r="F65" s="19" t="n">
        <x:f>MAX(D65-E65, 0)</x:f>
        <x:v>1</x:v>
      </x:c>
      <x:c r="G65" s="47" t="n">
        <x:f>IF(D65=0,0,ABS(E65/D65))</x:f>
        <x:v>0.5</x:v>
      </x:c>
      <x:c r="H65" s="52"/>
      <x:c r="I65" s="50"/>
      <x:c r="J65" s="50"/>
      <x:c r="K65" s="51"/>
      <x:c r="L65" s="19" t="n">
        <x:v>14508</x:v>
      </x:c>
      <x:c r="M65" s="50"/>
      <x:c r="N65" s="50"/>
      <x:c r="O65" s="70"/>
    </x:row>
    <x:row r="66" spans="1:19" hidden="1" outlineLevel="2" collapsed="1" x14ac:dyDescent="0.2">
      <x:c r="B66" s="45" t="inlineStr">
        <x:is>
          <x:t>E872</x:t>
        </x:is>
      </x:c>
      <x:c r="C66" s="46" t="inlineStr">
        <x:is>
          <x:t>Czaplejewicz, Seweryn</x:t>
        </x:is>
      </x:c>
      <x:c r="D66" s="45" t="n">
        <x:v>1126.944</x:v>
      </x:c>
      <x:c r="E66" s="19" t="n">
        <x:v>134.16</x:v>
      </x:c>
      <x:c r="F66" s="19" t="n">
        <x:f>MAX(D66-E66, 0)</x:f>
        <x:v>1</x:v>
      </x:c>
      <x:c r="G66" s="47" t="n">
        <x:f>IF(D66=0,0,ABS(E66/D66))</x:f>
        <x:v>0.5</x:v>
      </x:c>
      <x:c r="H66" s="72"/>
      <x:c r="I66" s="73"/>
      <x:c r="J66" s="73"/>
      <x:c r="K66" s="74"/>
      <x:c r="L66" s="19" t="n">
        <x:v>0</x:v>
      </x:c>
      <x:c r="M66" s="73"/>
      <x:c r="N66" s="73"/>
      <x:c r="O66" s="76"/>
    </x:row>
    <x:row r="67" spans="1:19" hidden="1" outlineLevel="2" collapsed="1" x14ac:dyDescent="0.2">
      <x:c r="B67" s="45" t="inlineStr">
        <x:is>
          <x:t>E872</x:t>
        </x:is>
      </x:c>
      <x:c r="C67" s="46" t="inlineStr">
        <x:is>
          <x:t>Jankowski, Wojciech</x:t>
        </x:is>
      </x:c>
      <x:c r="D67" s="45" t="n">
        <x:v>0</x:v>
      </x:c>
      <x:c r="E67" s="19" t="n">
        <x:v>626.08</x:v>
      </x:c>
      <x:c r="F67" s="19" t="n">
        <x:f>MAX(D67-E67, 0)</x:f>
        <x:v>1</x:v>
      </x:c>
      <x:c r="G67" s="47" t="n">
        <x:f>IF(D67=0,0,ABS(E67/D67))</x:f>
        <x:v>0.5</x:v>
      </x:c>
      <x:c r="H67" s="72"/>
      <x:c r="I67" s="73"/>
      <x:c r="J67" s="73"/>
      <x:c r="K67" s="74"/>
      <x:c r="L67" s="19" t="n">
        <x:v>13684.32</x:v>
      </x:c>
      <x:c r="M67" s="73"/>
      <x:c r="N67" s="73"/>
      <x:c r="O67" s="76"/>
    </x:row>
    <x:row r="68" spans="1:19" hidden="1" outlineLevel="2" collapsed="1" x14ac:dyDescent="0.2">
      <x:c r="B68" s="45" t="inlineStr">
        <x:is>
          <x:t>E872</x:t>
        </x:is>
      </x:c>
      <x:c r="C68" s="46" t="inlineStr">
        <x:is>
          <x:t>Pakulak, Przemyslaw</x:t>
        </x:is>
      </x:c>
      <x:c r="D68" s="45" t="n">
        <x:v>3756.48</x:v>
      </x:c>
      <x:c r="E68" s="19" t="n">
        <x:v>3532.88</x:v>
      </x:c>
      <x:c r="F68" s="19" t="n">
        <x:f>MAX(D68-E68, 0)</x:f>
        <x:v>1</x:v>
      </x:c>
      <x:c r="G68" s="47" t="n">
        <x:f>IF(D68=0,0,ABS(E68/D68))</x:f>
        <x:v>0.5</x:v>
      </x:c>
      <x:c r="H68" s="72"/>
      <x:c r="I68" s="73"/>
      <x:c r="J68" s="73"/>
      <x:c r="K68" s="74"/>
      <x:c r="L68" s="19" t="n">
        <x:v>63895.936</x:v>
      </x:c>
      <x:c r="M68" s="73"/>
      <x:c r="N68" s="73"/>
      <x:c r="O68" s="76"/>
    </x:row>
    <x:row r="69" spans="1:19" hidden="1" outlineLevel="2" collapsed="1" x14ac:dyDescent="0.2">
      <x:c r="B69" s="45" t="inlineStr">
        <x:is>
          <x:t>E872</x:t>
        </x:is>
      </x:c>
      <x:c r="C69" s="46" t="inlineStr">
        <x:is>
          <x:t>Podgorski, Mateusz</x:t>
        </x:is>
      </x:c>
      <x:c r="D69" s="45" t="n">
        <x:v>1310.4</x:v>
      </x:c>
      <x:c r="E69" s="19" t="n">
        <x:v>468</x:v>
      </x:c>
      <x:c r="F69" s="19" t="n">
        <x:f>MAX(D69-E69, 0)</x:f>
        <x:v>1</x:v>
      </x:c>
      <x:c r="G69" s="47" t="n">
        <x:f>IF(D69=0,0,ABS(E69/D69))</x:f>
        <x:v>0.5</x:v>
      </x:c>
      <x:c r="H69" s="72"/>
      <x:c r="I69" s="73"/>
      <x:c r="J69" s="73"/>
      <x:c r="K69" s="74"/>
      <x:c r="L69" s="19" t="n">
        <x:v>0</x:v>
      </x:c>
      <x:c r="M69" s="73"/>
      <x:c r="N69" s="73"/>
      <x:c r="O69" s="76"/>
    </x:row>
    <x:row r="70" spans="1:19" hidden="1" outlineLevel="2" collapsed="1" x14ac:dyDescent="0.2">
      <x:c r="B70" s="45" t="inlineStr">
        <x:is>
          <x:t>E872</x:t>
        </x:is>
      </x:c>
      <x:c r="C70" s="46" t="inlineStr">
        <x:is>
          <x:t>Szczesny, Damian</x:t>
        </x:is>
      </x:c>
      <x:c r="D70" s="45" t="n">
        <x:v>0</x:v>
      </x:c>
      <x:c r="E70" s="19" t="n">
        <x:v>6.885</x:v>
      </x:c>
      <x:c r="F70" s="19" t="n">
        <x:f>MAX(D70-E70, 0)</x:f>
        <x:v>1</x:v>
      </x:c>
      <x:c r="G70" s="47" t="n">
        <x:f>IF(D70=0,0,ABS(E70/D70))</x:f>
        <x:v>0.5</x:v>
      </x:c>
      <x:c r="H70" s="53"/>
      <x:c r="I70" s="54"/>
      <x:c r="J70" s="54"/>
      <x:c r="K70" s="55"/>
      <x:c r="L70" s="19" t="n">
        <x:v>0</x:v>
      </x:c>
      <x:c r="M70" s="54"/>
      <x:c r="N70" s="54"/>
      <x:c r="O70" s="71"/>
    </x:row>
    <x:row r="71" spans="1:19" outlineLevel="1" x14ac:dyDescent="0.2">
      <x:c r="B71" s="58" t="inlineStr">
        <x:v>49</x:v>
        <x:is>
          <x:t>Total E872</x:t>
        </x:is>
      </x:c>
      <x:c r="C71" s="59"/>
      <x:c r="D71" s="58" t="n">
        <x:v>7285.824</x:v>
      </x:c>
      <x:c r="E71" s="60" t="n">
        <x:v>6068.005</x:v>
      </x:c>
      <x:c r="F71" s="60" t="n">
        <x:f>MAX(D71-E71, 0)</x:f>
        <x:v>1</x:v>
      </x:c>
      <x:c r="G71" s="61" t="n">
        <x:f>IF(D71=0,0,ABS(E71/D71))</x:f>
        <x:v>0.5</x:v>
      </x:c>
      <x:c r="H71" s="58" t="n">
        <x:v>260663.936</x:v>
      </x:c>
      <x:c r="I71" s="60" t="n">
        <x:v>171502.385</x:v>
      </x:c>
      <x:c r="J71" s="62" t="n">
        <x:f>IF(H71=0,"No plan at start",I71/H71)</x:f>
        <x:v>2</x:v>
      </x:c>
      <x:c r="K71" s="60" t="n">
        <x:f>MAX(H71-I71, 0)</x:f>
        <x:v>0</x:v>
      </x:c>
      <x:c r="L71" s="60" t="n">
        <x:v>92088.256</x:v>
      </x:c>
      <x:c r="M71" s="60" t="n">
        <x:f>I71+L71</x:f>
        <x:v>3</x:v>
      </x:c>
      <x:c r="N71" s="60" t="n">
        <x:f>M71-H71</x:f>
        <x:v>2</x:v>
      </x:c>
      <x:c r="O71" s="61" t="n">
        <x:f>IF(H71=0,"No plan at start",M71/H71)</x:f>
        <x:v>3</x:v>
      </x:c>
    </x:row>
    <x:row r="72" spans="1:19" hidden="1" outlineLevel="2" collapsed="1" x14ac:dyDescent="0.2">
      <x:c r="B72" s="45" t="inlineStr">
        <x:is>
          <x:t>F808</x:t>
        </x:is>
      </x:c>
      <x:c r="C72" s="46" t="inlineStr">
        <x:is>
          <x:t>Lugowski, Jaroslaw</x:t>
        </x:is>
      </x:c>
      <x:c r="D72" s="45" t="n">
        <x:v>7512.96</x:v>
      </x:c>
      <x:c r="E72" s="19" t="n">
        <x:v>4091.88</x:v>
      </x:c>
      <x:c r="F72" s="19" t="n">
        <x:f>MAX(D72-E72, 0)</x:f>
        <x:v>1</x:v>
      </x:c>
      <x:c r="G72" s="47" t="n">
        <x:f>IF(D72=0,0,ABS(E72/D72))</x:f>
        <x:v>0.5</x:v>
      </x:c>
      <x:c r="H72" s="52"/>
      <x:c r="I72" s="50"/>
      <x:c r="J72" s="50"/>
      <x:c r="K72" s="51"/>
      <x:c r="L72" s="19" t="n">
        <x:v>34452.288</x:v>
      </x:c>
      <x:c r="M72" s="50"/>
      <x:c r="N72" s="50"/>
      <x:c r="O72" s="70"/>
    </x:row>
    <x:row r="73" spans="1:19" outlineLevel="1" x14ac:dyDescent="0.2">
      <x:c r="B73" s="58" t="inlineStr">
        <x:v>49</x:v>
        <x:is>
          <x:t>Total F808</x:t>
        </x:is>
      </x:c>
      <x:c r="C73" s="59"/>
      <x:c r="D73" s="58" t="n">
        <x:v>7512.96</x:v>
      </x:c>
      <x:c r="E73" s="60" t="n">
        <x:v>4091.88</x:v>
      </x:c>
      <x:c r="F73" s="60" t="n">
        <x:f>MAX(D73-E73, 0)</x:f>
        <x:v>1</x:v>
      </x:c>
      <x:c r="G73" s="61" t="n">
        <x:f>IF(D73=0,0,ABS(E73/D73))</x:f>
        <x:v>0.5</x:v>
      </x:c>
      <x:c r="H73" s="58" t="n">
        <x:v>154480.768</x:v>
      </x:c>
      <x:c r="I73" s="60" t="n">
        <x:v>197685.80</x:v>
      </x:c>
      <x:c r="J73" s="62" t="n">
        <x:f>IF(H73=0,"No plan at start",I73/H73)</x:f>
        <x:v>2</x:v>
      </x:c>
      <x:c r="K73" s="60" t="n">
        <x:f>MAX(H73-I73, 0)</x:f>
        <x:v>0</x:v>
      </x:c>
      <x:c r="L73" s="60" t="n">
        <x:v>34452.288</x:v>
      </x:c>
      <x:c r="M73" s="60" t="n">
        <x:f>I73+L73</x:f>
        <x:v>3</x:v>
      </x:c>
      <x:c r="N73" s="60" t="n">
        <x:f>M73-H73</x:f>
        <x:v>2</x:v>
      </x:c>
      <x:c r="O73" s="61" t="n">
        <x:f>IF(H73=0,"No plan at start",M73/H73)</x:f>
        <x:v>3</x:v>
      </x:c>
    </x:row>
    <x:row r="74" spans="1:19" hidden="1" outlineLevel="2" collapsed="1" x14ac:dyDescent="0.2">
      <x:c r="B74" s="45" t="inlineStr">
        <x:is>
          <x:t>H808</x:t>
        </x:is>
      </x:c>
      <x:c r="C74" s="46" t="inlineStr">
        <x:is>
          <x:t>Czaplejewicz, Seweryn</x:t>
        </x:is>
      </x:c>
      <x:c r="D74" s="45" t="n">
        <x:v>751.296</x:v>
      </x:c>
      <x:c r="E74" s="19" t="n">
        <x:v>44.72</x:v>
      </x:c>
      <x:c r="F74" s="19" t="n">
        <x:f>MAX(D74-E74, 0)</x:f>
        <x:v>1</x:v>
      </x:c>
      <x:c r="G74" s="47" t="n">
        <x:f>IF(D74=0,0,ABS(E74/D74))</x:f>
        <x:v>0.5</x:v>
      </x:c>
      <x:c r="H74" s="52"/>
      <x:c r="I74" s="50"/>
      <x:c r="J74" s="50"/>
      <x:c r="K74" s="51"/>
      <x:c r="L74" s="19" t="n">
        <x:v>0</x:v>
      </x:c>
      <x:c r="M74" s="50"/>
      <x:c r="N74" s="50"/>
      <x:c r="O74" s="70"/>
    </x:row>
    <x:row r="75" spans="1:19" hidden="1" outlineLevel="2" collapsed="1" x14ac:dyDescent="0.2">
      <x:c r="B75" s="45" t="inlineStr">
        <x:is>
          <x:t>H808</x:t>
        </x:is>
      </x:c>
      <x:c r="C75" s="46" t="inlineStr">
        <x:is>
          <x:t>Jankowski, Wojciech</x:t>
        </x:is>
      </x:c>
      <x:c r="D75" s="45" t="n">
        <x:v>224.9416</x:v>
      </x:c>
      <x:c r="E75" s="19" t="n">
        <x:v>0</x:v>
      </x:c>
      <x:c r="F75" s="19" t="n">
        <x:f>MAX(D75-E75, 0)</x:f>
        <x:v>1</x:v>
      </x:c>
      <x:c r="G75" s="47" t="n">
        <x:f>IF(D75=0,0,ABS(E75/D75))</x:f>
        <x:v>0.5</x:v>
      </x:c>
      <x:c r="H75" s="72"/>
      <x:c r="I75" s="73"/>
      <x:c r="J75" s="73"/>
      <x:c r="K75" s="74"/>
      <x:c r="L75" s="19" t="n">
        <x:v>3845.92</x:v>
      </x:c>
      <x:c r="M75" s="73"/>
      <x:c r="N75" s="73"/>
      <x:c r="O75" s="76"/>
    </x:row>
    <x:row r="76" spans="1:19" hidden="1" outlineLevel="2" collapsed="1" x14ac:dyDescent="0.2">
      <x:c r="B76" s="45" t="inlineStr">
        <x:is>
          <x:t>H808</x:t>
        </x:is>
      </x:c>
      <x:c r="C76" s="46" t="inlineStr">
        <x:is>
          <x:t>Lemanska, Martyna</x:t>
        </x:is>
      </x:c>
      <x:c r="D76" s="45" t="n">
        <x:v>1156.68</x:v>
      </x:c>
      <x:c r="E76" s="19" t="n">
        <x:v>624.24</x:v>
      </x:c>
      <x:c r="F76" s="19" t="n">
        <x:f>MAX(D76-E76, 0)</x:f>
        <x:v>1</x:v>
      </x:c>
      <x:c r="G76" s="47" t="n">
        <x:f>IF(D76=0,0,ABS(E76/D76))</x:f>
        <x:v>0.5</x:v>
      </x:c>
      <x:c r="H76" s="72"/>
      <x:c r="I76" s="73"/>
      <x:c r="J76" s="73"/>
      <x:c r="K76" s="74"/>
      <x:c r="L76" s="19" t="n">
        <x:v>1013.472</x:v>
      </x:c>
      <x:c r="M76" s="73"/>
      <x:c r="N76" s="73"/>
      <x:c r="O76" s="76"/>
    </x:row>
    <x:row r="77" spans="1:19" hidden="1" outlineLevel="2" collapsed="1" x14ac:dyDescent="0.2">
      <x:c r="B77" s="45" t="inlineStr">
        <x:is>
          <x:t>H808</x:t>
        </x:is>
      </x:c>
      <x:c r="C77" s="46" t="inlineStr">
        <x:is>
          <x:t>Podgorski, Mateusz</x:t>
        </x:is>
      </x:c>
      <x:c r="D77" s="45" t="n">
        <x:v>0</x:v>
      </x:c>
      <x:c r="E77" s="19" t="n">
        <x:v>1709.5</x:v>
      </x:c>
      <x:c r="F77" s="19" t="n">
        <x:f>MAX(D77-E77, 0)</x:f>
        <x:v>1</x:v>
      </x:c>
      <x:c r="G77" s="47" t="n">
        <x:f>IF(D77=0,0,ABS(E77/D77))</x:f>
        <x:v>0.5</x:v>
      </x:c>
      <x:c r="H77" s="53"/>
      <x:c r="I77" s="54"/>
      <x:c r="J77" s="54"/>
      <x:c r="K77" s="55"/>
      <x:c r="L77" s="19" t="n">
        <x:v>8673.6</x:v>
      </x:c>
      <x:c r="M77" s="54"/>
      <x:c r="N77" s="54"/>
      <x:c r="O77" s="71"/>
    </x:row>
    <x:row r="78" spans="1:19" outlineLevel="1" x14ac:dyDescent="0.2">
      <x:c r="B78" s="58" t="inlineStr">
        <x:v>49</x:v>
        <x:is>
          <x:t>Total H808</x:t>
        </x:is>
      </x:c>
      <x:c r="C78" s="59"/>
      <x:c r="D78" s="58" t="n">
        <x:v>2132.9176</x:v>
      </x:c>
      <x:c r="E78" s="60" t="n">
        <x:v>2378.46</x:v>
      </x:c>
      <x:c r="F78" s="60" t="n">
        <x:f>MAX(D78-E78, 0)</x:f>
        <x:v>1</x:v>
      </x:c>
      <x:c r="G78" s="61" t="n">
        <x:f>IF(D78=0,0,ABS(E78/D78))</x:f>
        <x:v>0.5</x:v>
      </x:c>
      <x:c r="H78" s="58" t="n">
        <x:v>138488.896</x:v>
      </x:c>
      <x:c r="I78" s="60" t="n">
        <x:v>59529.337</x:v>
      </x:c>
      <x:c r="J78" s="62" t="n">
        <x:f>IF(H78=0,"No plan at start",I78/H78)</x:f>
        <x:v>2</x:v>
      </x:c>
      <x:c r="K78" s="60" t="n">
        <x:f>MAX(H78-I78, 0)</x:f>
        <x:v>0</x:v>
      </x:c>
      <x:c r="L78" s="60" t="n">
        <x:v>13532.992</x:v>
      </x:c>
      <x:c r="M78" s="60" t="n">
        <x:f>I78+L78</x:f>
        <x:v>3</x:v>
      </x:c>
      <x:c r="N78" s="60" t="n">
        <x:f>M78-H78</x:f>
        <x:v>2</x:v>
      </x:c>
      <x:c r="O78" s="61" t="n">
        <x:f>IF(H78=0,"No plan at start",M78/H78)</x:f>
        <x:v>3</x:v>
      </x:c>
    </x:row>
    <x:row r="79" spans="1:19" hidden="1" outlineLevel="2" collapsed="1" x14ac:dyDescent="0.2">
      <x:c r="B79" s="45" t="inlineStr">
        <x:is>
          <x:t>J399</x:t>
        </x:is>
      </x:c>
      <x:c r="C79" s="46" t="inlineStr">
        <x:is>
          <x:t>Jankowski, Wojciech</x:t>
        </x:is>
      </x:c>
      <x:c r="D79" s="45" t="n">
        <x:v>0</x:v>
      </x:c>
      <x:c r="E79" s="19" t="n">
        <x:v>402.48</x:v>
      </x:c>
      <x:c r="F79" s="19" t="n">
        <x:f>MAX(D79-E79, 0)</x:f>
        <x:v>1</x:v>
      </x:c>
      <x:c r="G79" s="47" t="n">
        <x:f>IF(D79=0,0,ABS(E79/D79))</x:f>
        <x:v>0.5</x:v>
      </x:c>
      <x:c r="H79" s="52"/>
      <x:c r="I79" s="50"/>
      <x:c r="J79" s="50"/>
      <x:c r="K79" s="51"/>
      <x:c r="L79" s="19" t="n">
        <x:v>0</x:v>
      </x:c>
      <x:c r="M79" s="50"/>
      <x:c r="N79" s="50"/>
      <x:c r="O79" s="70"/>
    </x:row>
    <x:row r="80" spans="1:19" outlineLevel="1" x14ac:dyDescent="0.2">
      <x:c r="B80" s="58" t="inlineStr">
        <x:v>49</x:v>
        <x:is>
          <x:t>Total J399</x:t>
        </x:is>
      </x:c>
      <x:c r="C80" s="59"/>
      <x:c r="D80" s="58" t="n">
        <x:v>0</x:v>
      </x:c>
      <x:c r="E80" s="60" t="n">
        <x:v>402.48</x:v>
      </x:c>
      <x:c r="F80" s="60" t="n">
        <x:f>MAX(D80-E80, 0)</x:f>
        <x:v>1</x:v>
      </x:c>
      <x:c r="G80" s="61" t="n">
        <x:f>IF(D80=0,0,ABS(E80/D80))</x:f>
        <x:v>0.5</x:v>
      </x:c>
      <x:c r="H80" s="58" t="n">
        <x:v>57080.608</x:v>
      </x:c>
      <x:c r="I80" s="60" t="n">
        <x:v>139807.965</x:v>
      </x:c>
      <x:c r="J80" s="62" t="n">
        <x:f>IF(H80=0,"No plan at start",I80/H80)</x:f>
        <x:v>2</x:v>
      </x:c>
      <x:c r="K80" s="60" t="n">
        <x:f>MAX(H80-I80, 0)</x:f>
        <x:v>0</x:v>
      </x:c>
      <x:c r="L80" s="60" t="n">
        <x:v>0</x:v>
      </x:c>
      <x:c r="M80" s="60" t="n">
        <x:f>I80+L80</x:f>
        <x:v>3</x:v>
      </x:c>
      <x:c r="N80" s="60" t="n">
        <x:f>M80-H80</x:f>
        <x:v>2</x:v>
      </x:c>
      <x:c r="O80" s="61" t="n">
        <x:f>IF(H80=0,"No plan at start",M80/H80)</x:f>
        <x:v>3</x:v>
      </x:c>
    </x:row>
    <x:row r="81" spans="1:19" hidden="1" outlineLevel="2" collapsed="1" x14ac:dyDescent="0.2">
      <x:c r="B81" s="45" t="inlineStr">
        <x:is>
          <x:t>J500</x:t>
        </x:is>
      </x:c>
      <x:c r="C81" s="46" t="inlineStr">
        <x:is>
          <x:t>Czaplejewicz, Seweryn</x:t>
        </x:is>
      </x:c>
      <x:c r="D81" s="45" t="n">
        <x:v>2253.888</x:v>
      </x:c>
      <x:c r="E81" s="19" t="n">
        <x:v>3890.64</x:v>
      </x:c>
      <x:c r="F81" s="19" t="n">
        <x:f>MAX(D81-E81, 0)</x:f>
        <x:v>1</x:v>
      </x:c>
      <x:c r="G81" s="47" t="n">
        <x:f>IF(D81=0,0,ABS(E81/D81))</x:f>
        <x:v>0.5</x:v>
      </x:c>
      <x:c r="H81" s="52"/>
      <x:c r="I81" s="50"/>
      <x:c r="J81" s="50"/>
      <x:c r="K81" s="51"/>
      <x:c r="L81" s="19" t="n">
        <x:v>3219.84</x:v>
      </x:c>
      <x:c r="M81" s="50"/>
      <x:c r="N81" s="50"/>
      <x:c r="O81" s="70"/>
    </x:row>
    <x:row r="82" spans="1:19" hidden="1" outlineLevel="2" collapsed="1" x14ac:dyDescent="0.2">
      <x:c r="B82" s="45" t="inlineStr">
        <x:is>
          <x:t>J500</x:t>
        </x:is>
      </x:c>
      <x:c r="C82" s="46" t="inlineStr">
        <x:is>
          <x:t>Jankowski, Wojciech</x:t>
        </x:is>
      </x:c>
      <x:c r="D82" s="45" t="n">
        <x:v>2253.888</x:v>
      </x:c>
      <x:c r="E82" s="19" t="n">
        <x:v>290.68</x:v>
      </x:c>
      <x:c r="F82" s="19" t="n">
        <x:f>MAX(D82-E82, 0)</x:f>
        <x:v>1</x:v>
      </x:c>
      <x:c r="G82" s="47" t="n">
        <x:f>IF(D82=0,0,ABS(E82/D82))</x:f>
        <x:v>0.5</x:v>
      </x:c>
      <x:c r="H82" s="72"/>
      <x:c r="I82" s="73"/>
      <x:c r="J82" s="73"/>
      <x:c r="K82" s="74"/>
      <x:c r="L82" s="19" t="n">
        <x:v>4293.12</x:v>
      </x:c>
      <x:c r="M82" s="73"/>
      <x:c r="N82" s="73"/>
      <x:c r="O82" s="76"/>
    </x:row>
    <x:row r="83" spans="1:19" hidden="1" outlineLevel="2" collapsed="1" x14ac:dyDescent="0.2">
      <x:c r="B83" s="45" t="inlineStr">
        <x:is>
          <x:t>J500</x:t>
        </x:is>
      </x:c>
      <x:c r="C83" s="46" t="inlineStr">
        <x:is>
          <x:t>Lemanska, Martyna</x:t>
        </x:is>
      </x:c>
      <x:c r="D83" s="45" t="n">
        <x:v>154.224</x:v>
      </x:c>
      <x:c r="E83" s="19" t="n">
        <x:v>0</x:v>
      </x:c>
      <x:c r="F83" s="19" t="n">
        <x:f>MAX(D83-E83, 0)</x:f>
        <x:v>1</x:v>
      </x:c>
      <x:c r="G83" s="47" t="n">
        <x:f>IF(D83=0,0,ABS(E83/D83))</x:f>
        <x:v>0.5</x:v>
      </x:c>
      <x:c r="H83" s="72"/>
      <x:c r="I83" s="73"/>
      <x:c r="J83" s="73"/>
      <x:c r="K83" s="74"/>
      <x:c r="L83" s="19" t="n">
        <x:v>0</x:v>
      </x:c>
      <x:c r="M83" s="73"/>
      <x:c r="N83" s="73"/>
      <x:c r="O83" s="76"/>
    </x:row>
    <x:row r="84" spans="1:19" hidden="1" outlineLevel="2" collapsed="1" x14ac:dyDescent="0.2">
      <x:c r="B84" s="45" t="inlineStr">
        <x:is>
          <x:t>J500</x:t>
        </x:is>
      </x:c>
      <x:c r="C84" s="46" t="inlineStr">
        <x:is>
          <x:t>Podgorski, Mateusz</x:t>
        </x:is>
      </x:c>
      <x:c r="D84" s="45" t="n">
        <x:v>0</x:v>
      </x:c>
      <x:c r="E84" s="19" t="n">
        <x:v>52</x:v>
      </x:c>
      <x:c r="F84" s="19" t="n">
        <x:f>MAX(D84-E84, 0)</x:f>
        <x:v>1</x:v>
      </x:c>
      <x:c r="G84" s="47" t="n">
        <x:f>IF(D84=0,0,ABS(E84/D84))</x:f>
        <x:v>0.5</x:v>
      </x:c>
      <x:c r="H84" s="53"/>
      <x:c r="I84" s="54"/>
      <x:c r="J84" s="54"/>
      <x:c r="K84" s="55"/>
      <x:c r="L84" s="19" t="n">
        <x:v>2600</x:v>
      </x:c>
      <x:c r="M84" s="54"/>
      <x:c r="N84" s="54"/>
      <x:c r="O84" s="71"/>
    </x:row>
    <x:row r="85" spans="1:19" outlineLevel="1" x14ac:dyDescent="0.2">
      <x:c r="B85" s="58" t="inlineStr">
        <x:v>49</x:v>
        <x:is>
          <x:t>Total J500</x:t>
        </x:is>
      </x:c>
      <x:c r="C85" s="59"/>
      <x:c r="D85" s="58" t="n">
        <x:v>4662.000</x:v>
      </x:c>
      <x:c r="E85" s="60" t="n">
        <x:v>4233.32</x:v>
      </x:c>
      <x:c r="F85" s="60" t="n">
        <x:f>MAX(D85-E85, 0)</x:f>
        <x:v>1</x:v>
      </x:c>
      <x:c r="G85" s="61" t="n">
        <x:f>IF(D85=0,0,ABS(E85/D85))</x:f>
        <x:v>0.5</x:v>
      </x:c>
      <x:c r="H85" s="58" t="n">
        <x:v>26033.748</x:v>
      </x:c>
      <x:c r="I85" s="60" t="n">
        <x:v>23576.59</x:v>
      </x:c>
      <x:c r="J85" s="62" t="n">
        <x:f>IF(H85=0,"No plan at start",I85/H85)</x:f>
        <x:v>2</x:v>
      </x:c>
      <x:c r="K85" s="60" t="n">
        <x:f>MAX(H85-I85, 0)</x:f>
        <x:v>0</x:v>
      </x:c>
      <x:c r="L85" s="60" t="n">
        <x:v>10112.96</x:v>
      </x:c>
      <x:c r="M85" s="60" t="n">
        <x:f>I85+L85</x:f>
        <x:v>3</x:v>
      </x:c>
      <x:c r="N85" s="60" t="n">
        <x:f>M85-H85</x:f>
        <x:v>2</x:v>
      </x:c>
      <x:c r="O85" s="61" t="n">
        <x:f>IF(H85=0,"No plan at start",M85/H85)</x:f>
        <x:v>3</x:v>
      </x:c>
    </x:row>
    <x:row r="86" spans="1:19" hidden="1" outlineLevel="2" collapsed="1" x14ac:dyDescent="0.2">
      <x:c r="B86" s="45" t="inlineStr">
        <x:is>
          <x:t>K094</x:t>
        </x:is>
      </x:c>
      <x:c r="C86" s="46" t="inlineStr">
        <x:is>
          <x:t>Celinski-Myslaw, Bartosz</x:t>
        </x:is>
      </x:c>
      <x:c r="D86" s="45" t="n">
        <x:v>0</x:v>
      </x:c>
      <x:c r="E86" s="19" t="n">
        <x:v>156</x:v>
      </x:c>
      <x:c r="F86" s="19" t="n">
        <x:f>MAX(D86-E86, 0)</x:f>
        <x:v>1</x:v>
      </x:c>
      <x:c r="G86" s="47" t="n">
        <x:f>IF(D86=0,0,ABS(E86/D86))</x:f>
        <x:v>0.5</x:v>
      </x:c>
      <x:c r="H86" s="52"/>
      <x:c r="I86" s="50"/>
      <x:c r="J86" s="50"/>
      <x:c r="K86" s="51"/>
      <x:c r="L86" s="19" t="n">
        <x:v>0</x:v>
      </x:c>
      <x:c r="M86" s="50"/>
      <x:c r="N86" s="50"/>
      <x:c r="O86" s="70"/>
    </x:row>
    <x:row r="87" spans="1:19" hidden="1" outlineLevel="2" collapsed="1" x14ac:dyDescent="0.2">
      <x:c r="B87" s="45" t="inlineStr">
        <x:is>
          <x:t>K094</x:t>
        </x:is>
      </x:c>
      <x:c r="C87" s="46" t="inlineStr">
        <x:is>
          <x:t>Czaplejewicz, Seweryn</x:t>
        </x:is>
      </x:c>
      <x:c r="D87" s="45" t="n">
        <x:v>0</x:v>
      </x:c>
      <x:c r="E87" s="19" t="n">
        <x:v>44.72</x:v>
      </x:c>
      <x:c r="F87" s="19" t="n">
        <x:f>MAX(D87-E87, 0)</x:f>
        <x:v>1</x:v>
      </x:c>
      <x:c r="G87" s="47" t="n">
        <x:f>IF(D87=0,0,ABS(E87/D87))</x:f>
        <x:v>0.5</x:v>
      </x:c>
      <x:c r="H87" s="53"/>
      <x:c r="I87" s="54"/>
      <x:c r="J87" s="54"/>
      <x:c r="K87" s="55"/>
      <x:c r="L87" s="19" t="n">
        <x:v>0</x:v>
      </x:c>
      <x:c r="M87" s="54"/>
      <x:c r="N87" s="54"/>
      <x:c r="O87" s="71"/>
    </x:row>
    <x:row r="88" spans="1:19" outlineLevel="1" x14ac:dyDescent="0.2">
      <x:c r="B88" s="58" t="inlineStr">
        <x:v>49</x:v>
        <x:is>
          <x:t>Total K094</x:t>
        </x:is>
      </x:c>
      <x:c r="C88" s="59"/>
      <x:c r="D88" s="58" t="n">
        <x:v>0</x:v>
      </x:c>
      <x:c r="E88" s="60" t="n">
        <x:v>200.72</x:v>
      </x:c>
      <x:c r="F88" s="60" t="n">
        <x:f>MAX(D88-E88, 0)</x:f>
        <x:v>1</x:v>
      </x:c>
      <x:c r="G88" s="61" t="n">
        <x:f>IF(D88=0,0,ABS(E88/D88))</x:f>
        <x:v>0.5</x:v>
      </x:c>
      <x:c r="H88" s="58" t="n">
        <x:v>39782.912</x:v>
      </x:c>
      <x:c r="I88" s="60" t="n">
        <x:v>131474.835</x:v>
      </x:c>
      <x:c r="J88" s="62" t="n">
        <x:f>IF(H88=0,"No plan at start",I88/H88)</x:f>
        <x:v>2</x:v>
      </x:c>
      <x:c r="K88" s="60" t="n">
        <x:f>MAX(H88-I88, 0)</x:f>
        <x:v>0</x:v>
      </x:c>
      <x:c r="L88" s="60" t="n">
        <x:v>0</x:v>
      </x:c>
      <x:c r="M88" s="60" t="n">
        <x:f>I88+L88</x:f>
        <x:v>3</x:v>
      </x:c>
      <x:c r="N88" s="60" t="n">
        <x:f>M88-H88</x:f>
        <x:v>2</x:v>
      </x:c>
      <x:c r="O88" s="61" t="n">
        <x:f>IF(H88=0,"No plan at start",M88/H88)</x:f>
        <x:v>3</x:v>
      </x:c>
    </x:row>
    <x:row r="89" spans="1:19" hidden="1" outlineLevel="2" collapsed="1" x14ac:dyDescent="0.2">
      <x:c r="B89" s="45" t="inlineStr">
        <x:is>
          <x:t>K325</x:t>
        </x:is>
      </x:c>
      <x:c r="C89" s="46" t="inlineStr">
        <x:is>
          <x:t>Szczesny, Damian</x:t>
        </x:is>
      </x:c>
      <x:c r="D89" s="45" t="n">
        <x:v>0</x:v>
      </x:c>
      <x:c r="E89" s="19" t="n">
        <x:v>84.915</x:v>
      </x:c>
      <x:c r="F89" s="19" t="n">
        <x:f>MAX(D89-E89, 0)</x:f>
        <x:v>1</x:v>
      </x:c>
      <x:c r="G89" s="47" t="n">
        <x:f>IF(D89=0,0,ABS(E89/D89))</x:f>
        <x:v>0.5</x:v>
      </x:c>
      <x:c r="H89" s="52"/>
      <x:c r="I89" s="50"/>
      <x:c r="J89" s="50"/>
      <x:c r="K89" s="51"/>
      <x:c r="L89" s="19" t="n">
        <x:v>0</x:v>
      </x:c>
      <x:c r="M89" s="50"/>
      <x:c r="N89" s="50"/>
      <x:c r="O89" s="70"/>
    </x:row>
    <x:row r="90" spans="1:19" outlineLevel="1" x14ac:dyDescent="0.2">
      <x:c r="B90" s="58" t="inlineStr">
        <x:v>49</x:v>
        <x:is>
          <x:t>Total K325</x:t>
        </x:is>
      </x:c>
      <x:c r="C90" s="59"/>
      <x:c r="D90" s="58" t="n">
        <x:v>0</x:v>
      </x:c>
      <x:c r="E90" s="60" t="n">
        <x:v>84.915</x:v>
      </x:c>
      <x:c r="F90" s="60" t="n">
        <x:f>MAX(D90-E90, 0)</x:f>
        <x:v>1</x:v>
      </x:c>
      <x:c r="G90" s="61" t="n">
        <x:f>IF(D90=0,0,ABS(E90/D90))</x:f>
        <x:v>0.5</x:v>
      </x:c>
      <x:c r="H90" s="58" t="n">
        <x:v>0</x:v>
      </x:c>
      <x:c r="I90" s="60" t="n">
        <x:v>2249.855</x:v>
      </x:c>
      <x:c r="J90" s="62" t="n">
        <x:f>IF(H90=0,"No plan at start",I90/H90)</x:f>
        <x:v>2</x:v>
      </x:c>
      <x:c r="K90" s="60" t="n">
        <x:f>MAX(H90-I90, 0)</x:f>
        <x:v>0</x:v>
      </x:c>
      <x:c r="L90" s="60" t="n">
        <x:v>0</x:v>
      </x:c>
      <x:c r="M90" s="60" t="n">
        <x:f>I90+L90</x:f>
        <x:v>3</x:v>
      </x:c>
      <x:c r="N90" s="60" t="n">
        <x:f>M90-H90</x:f>
        <x:v>2</x:v>
      </x:c>
      <x:c r="O90" s="61" t="n">
        <x:f>IF(H90=0,"No plan at start",M90/H90)</x:f>
        <x:v>3</x:v>
      </x:c>
    </x:row>
    <x:row r="91" spans="1:19" hidden="1" outlineLevel="2" collapsed="1" x14ac:dyDescent="0.2">
      <x:c r="B91" s="45" t="inlineStr">
        <x:is>
          <x:t>K358</x:t>
        </x:is>
      </x:c>
      <x:c r="C91" s="46" t="inlineStr">
        <x:is>
          <x:t>Czaplejewicz, Seweryn</x:t>
        </x:is>
      </x:c>
      <x:c r="D91" s="45" t="n">
        <x:v>0</x:v>
      </x:c>
      <x:c r="E91" s="19" t="n">
        <x:v>134.16</x:v>
      </x:c>
      <x:c r="F91" s="19" t="n">
        <x:f>MAX(D91-E91, 0)</x:f>
        <x:v>1</x:v>
      </x:c>
      <x:c r="G91" s="47" t="n">
        <x:f>IF(D91=0,0,ABS(E91/D91))</x:f>
        <x:v>0.5</x:v>
      </x:c>
      <x:c r="H91" s="52"/>
      <x:c r="I91" s="50"/>
      <x:c r="J91" s="50"/>
      <x:c r="K91" s="51"/>
      <x:c r="L91" s="19" t="n">
        <x:v>0</x:v>
      </x:c>
      <x:c r="M91" s="50"/>
      <x:c r="N91" s="50"/>
      <x:c r="O91" s="70"/>
    </x:row>
    <x:row r="92" spans="1:19" hidden="1" outlineLevel="2" collapsed="1" x14ac:dyDescent="0.2">
      <x:c r="B92" s="45" t="inlineStr">
        <x:is>
          <x:t>K358</x:t>
        </x:is>
      </x:c>
      <x:c r="C92" s="46" t="inlineStr">
        <x:is>
          <x:t>Jankowski, Wojciech</x:t>
        </x:is>
      </x:c>
      <x:c r="D92" s="45" t="n">
        <x:v>0</x:v>
      </x:c>
      <x:c r="E92" s="19" t="n">
        <x:v>536.64</x:v>
      </x:c>
      <x:c r="F92" s="19" t="n">
        <x:f>MAX(D92-E92, 0)</x:f>
        <x:v>1</x:v>
      </x:c>
      <x:c r="G92" s="47" t="n">
        <x:f>IF(D92=0,0,ABS(E92/D92))</x:f>
        <x:v>0.5</x:v>
      </x:c>
      <x:c r="H92" s="53"/>
      <x:c r="I92" s="54"/>
      <x:c r="J92" s="54"/>
      <x:c r="K92" s="55"/>
      <x:c r="L92" s="19" t="n">
        <x:v>0</x:v>
      </x:c>
      <x:c r="M92" s="54"/>
      <x:c r="N92" s="54"/>
      <x:c r="O92" s="71"/>
    </x:row>
    <x:row r="93" spans="1:19" outlineLevel="1" x14ac:dyDescent="0.2">
      <x:c r="B93" s="58" t="inlineStr">
        <x:v>49</x:v>
        <x:is>
          <x:t>Total K358</x:t>
        </x:is>
      </x:c>
      <x:c r="C93" s="59"/>
      <x:c r="D93" s="58" t="n">
        <x:v>0</x:v>
      </x:c>
      <x:c r="E93" s="60" t="n">
        <x:v>670.80</x:v>
      </x:c>
      <x:c r="F93" s="60" t="n">
        <x:f>MAX(D93-E93, 0)</x:f>
        <x:v>1</x:v>
      </x:c>
      <x:c r="G93" s="61" t="n">
        <x:f>IF(D93=0,0,ABS(E93/D93))</x:f>
        <x:v>0.5</x:v>
      </x:c>
      <x:c r="H93" s="58" t="n">
        <x:v>0</x:v>
      </x:c>
      <x:c r="I93" s="60" t="n">
        <x:v>2280.72</x:v>
      </x:c>
      <x:c r="J93" s="62" t="n">
        <x:f>IF(H93=0,"No plan at start",I93/H93)</x:f>
        <x:v>2</x:v>
      </x:c>
      <x:c r="K93" s="60" t="n">
        <x:f>MAX(H93-I93, 0)</x:f>
        <x:v>0</x:v>
      </x:c>
      <x:c r="L93" s="60" t="n">
        <x:v>0</x:v>
      </x:c>
      <x:c r="M93" s="60" t="n">
        <x:f>I93+L93</x:f>
        <x:v>3</x:v>
      </x:c>
      <x:c r="N93" s="60" t="n">
        <x:f>M93-H93</x:f>
        <x:v>2</x:v>
      </x:c>
      <x:c r="O93" s="61" t="n">
        <x:f>IF(H93=0,"No plan at start",M93/H93)</x:f>
        <x:v>3</x:v>
      </x:c>
    </x:row>
    <x:row r="94" spans="1:19" hidden="1" outlineLevel="2" collapsed="1" x14ac:dyDescent="0.2">
      <x:c r="B94" s="45" t="inlineStr">
        <x:is>
          <x:t>N386</x:t>
        </x:is>
      </x:c>
      <x:c r="C94" s="46" t="inlineStr">
        <x:is>
          <x:t>Podgorski, Mateusz</x:t>
        </x:is>
      </x:c>
      <x:c r="D94" s="45" t="n">
        <x:v>400.4</x:v>
      </x:c>
      <x:c r="E94" s="19" t="n">
        <x:v>0</x:v>
      </x:c>
      <x:c r="F94" s="19" t="n">
        <x:f>MAX(D94-E94, 0)</x:f>
        <x:v>1</x:v>
      </x:c>
      <x:c r="G94" s="47" t="n">
        <x:f>IF(D94=0,0,ABS(E94/D94))</x:f>
        <x:v>0.5</x:v>
      </x:c>
      <x:c r="H94" s="52"/>
      <x:c r="I94" s="50"/>
      <x:c r="J94" s="50"/>
      <x:c r="K94" s="51"/>
      <x:c r="L94" s="19" t="n">
        <x:v>910</x:v>
      </x:c>
      <x:c r="M94" s="50"/>
      <x:c r="N94" s="50"/>
      <x:c r="O94" s="70"/>
    </x:row>
    <x:row r="95" spans="1:19" outlineLevel="1" x14ac:dyDescent="0.2">
      <x:c r="B95" s="58" t="inlineStr">
        <x:v>49</x:v>
        <x:is>
          <x:t>Total N386</x:t>
        </x:is>
      </x:c>
      <x:c r="C95" s="59"/>
      <x:c r="D95" s="58" t="n">
        <x:v>400.4</x:v>
      </x:c>
      <x:c r="E95" s="60" t="n">
        <x:v>0</x:v>
      </x:c>
      <x:c r="F95" s="60" t="n">
        <x:f>MAX(D95-E95, 0)</x:f>
        <x:v>1</x:v>
      </x:c>
      <x:c r="G95" s="61" t="n">
        <x:f>IF(D95=0,0,ABS(E95/D95))</x:f>
        <x:v>0.5</x:v>
      </x:c>
      <x:c r="H95" s="58" t="n">
        <x:v>1222</x:v>
      </x:c>
      <x:c r="I95" s="60" t="n">
        <x:v>468.0</x:v>
      </x:c>
      <x:c r="J95" s="62" t="n">
        <x:f>IF(H95=0,"No plan at start",I95/H95)</x:f>
        <x:v>2</x:v>
      </x:c>
      <x:c r="K95" s="60" t="n">
        <x:f>MAX(H95-I95, 0)</x:f>
        <x:v>0</x:v>
      </x:c>
      <x:c r="L95" s="60" t="n">
        <x:v>910</x:v>
      </x:c>
      <x:c r="M95" s="60" t="n">
        <x:f>I95+L95</x:f>
        <x:v>3</x:v>
      </x:c>
      <x:c r="N95" s="60" t="n">
        <x:f>M95-H95</x:f>
        <x:v>2</x:v>
      </x:c>
      <x:c r="O95" s="61" t="n">
        <x:f>IF(H95=0,"No plan at start",M95/H95)</x:f>
        <x:v>3</x:v>
      </x:c>
    </x:row>
    <x:row r="96" spans="1:19" hidden="1" outlineLevel="2" collapsed="1" x14ac:dyDescent="0.2">
      <x:c r="B96" s="45" t="inlineStr">
        <x:is>
          <x:t>N694</x:t>
        </x:is>
      </x:c>
      <x:c r="C96" s="46" t="inlineStr">
        <x:is>
          <x:t>Jankowski, Wojciech</x:t>
        </x:is>
      </x:c>
      <x:c r="D96" s="45" t="n">
        <x:v>0</x:v>
      </x:c>
      <x:c r="E96" s="19" t="n">
        <x:v>0</x:v>
      </x:c>
      <x:c r="F96" s="19" t="n">
        <x:f>MAX(D96-E96, 0)</x:f>
        <x:v>1</x:v>
      </x:c>
      <x:c r="G96" s="47" t="n">
        <x:f>IF(D96=0,0,ABS(E96/D96))</x:f>
        <x:v>0.5</x:v>
      </x:c>
      <x:c r="H96" s="52"/>
      <x:c r="I96" s="50"/>
      <x:c r="J96" s="50"/>
      <x:c r="K96" s="51"/>
      <x:c r="L96" s="19" t="n">
        <x:v>2847.3224</x:v>
      </x:c>
      <x:c r="M96" s="50"/>
      <x:c r="N96" s="50"/>
      <x:c r="O96" s="70"/>
    </x:row>
    <x:row r="97" spans="1:19" hidden="1" outlineLevel="2" collapsed="1" x14ac:dyDescent="0.2">
      <x:c r="B97" s="45" t="inlineStr">
        <x:is>
          <x:t>N694</x:t>
        </x:is>
      </x:c>
      <x:c r="C97" s="46" t="inlineStr">
        <x:is>
          <x:t>Pakulak, Przemyslaw</x:t>
        </x:is>
      </x:c>
      <x:c r="D97" s="45" t="n">
        <x:v>1424.332</x:v>
      </x:c>
      <x:c r="E97" s="19" t="n">
        <x:v>0</x:v>
      </x:c>
      <x:c r="F97" s="19" t="n">
        <x:f>MAX(D97-E97, 0)</x:f>
        <x:v>1</x:v>
      </x:c>
      <x:c r="G97" s="47" t="n">
        <x:f>IF(D97=0,0,ABS(E97/D97))</x:f>
        <x:v>0.5</x:v>
      </x:c>
      <x:c r="H97" s="53"/>
      <x:c r="I97" s="54"/>
      <x:c r="J97" s="54"/>
      <x:c r="K97" s="55"/>
      <x:c r="L97" s="19" t="n">
        <x:v>9975.6904</x:v>
      </x:c>
      <x:c r="M97" s="54"/>
      <x:c r="N97" s="54"/>
      <x:c r="O97" s="71"/>
    </x:row>
    <x:row r="98" spans="1:19" outlineLevel="1" x14ac:dyDescent="0.2">
      <x:c r="B98" s="58" t="inlineStr">
        <x:v>49</x:v>
        <x:is>
          <x:t>Total N694</x:t>
        </x:is>
      </x:c>
      <x:c r="C98" s="59"/>
      <x:c r="D98" s="58" t="n">
        <x:v>1424.332</x:v>
      </x:c>
      <x:c r="E98" s="60" t="n">
        <x:v>0</x:v>
      </x:c>
      <x:c r="F98" s="60" t="n">
        <x:f>MAX(D98-E98, 0)</x:f>
        <x:v>1</x:v>
      </x:c>
      <x:c r="G98" s="61" t="n">
        <x:f>IF(D98=0,0,ABS(E98/D98))</x:f>
        <x:v>0.5</x:v>
      </x:c>
      <x:c r="H98" s="58" t="n">
        <x:v>14247.3448</x:v>
      </x:c>
      <x:c r="I98" s="60" t="n">
        <x:v>0</x:v>
      </x:c>
      <x:c r="J98" s="62" t="n">
        <x:f>IF(H98=0,"No plan at start",I98/H98)</x:f>
        <x:v>2</x:v>
      </x:c>
      <x:c r="K98" s="60" t="n">
        <x:f>MAX(H98-I98, 0)</x:f>
        <x:v>0</x:v>
      </x:c>
      <x:c r="L98" s="60" t="n">
        <x:v>12823.0128</x:v>
      </x:c>
      <x:c r="M98" s="60" t="n">
        <x:f>I98+L98</x:f>
        <x:v>3</x:v>
      </x:c>
      <x:c r="N98" s="60" t="n">
        <x:f>M98-H98</x:f>
        <x:v>2</x:v>
      </x:c>
      <x:c r="O98" s="61" t="n">
        <x:f>IF(H98=0,"No plan at start",M98/H98)</x:f>
        <x:v>3</x:v>
      </x:c>
    </x:row>
    <x:row r="99" spans="1:19" hidden="1" outlineLevel="2" collapsed="1" x14ac:dyDescent="0.2">
      <x:c r="B99" s="45" t="inlineStr">
        <x:is>
          <x:t>N706</x:t>
        </x:is>
      </x:c>
      <x:c r="C99" s="46" t="inlineStr">
        <x:is>
          <x:t>Szczesny, Damian</x:t>
        </x:is>
      </x:c>
      <x:c r="D99" s="45" t="n">
        <x:v>0</x:v>
      </x:c>
      <x:c r="E99" s="19" t="n">
        <x:v>13.77</x:v>
      </x:c>
      <x:c r="F99" s="19" t="n">
        <x:f>MAX(D99-E99, 0)</x:f>
        <x:v>1</x:v>
      </x:c>
      <x:c r="G99" s="47" t="n">
        <x:f>IF(D99=0,0,ABS(E99/D99))</x:f>
        <x:v>0.5</x:v>
      </x:c>
      <x:c r="H99" s="52"/>
      <x:c r="I99" s="50"/>
      <x:c r="J99" s="50"/>
      <x:c r="K99" s="51"/>
      <x:c r="L99" s="19" t="n">
        <x:v>0</x:v>
      </x:c>
      <x:c r="M99" s="50"/>
      <x:c r="N99" s="50"/>
      <x:c r="O99" s="70"/>
    </x:row>
    <x:row r="100" spans="1:19" outlineLevel="1" x14ac:dyDescent="0.2">
      <x:c r="B100" s="58" t="inlineStr">
        <x:v>49</x:v>
        <x:is>
          <x:t>Total N706</x:t>
        </x:is>
      </x:c>
      <x:c r="C100" s="59"/>
      <x:c r="D100" s="58" t="n">
        <x:v>0</x:v>
      </x:c>
      <x:c r="E100" s="60" t="n">
        <x:v>13.77</x:v>
      </x:c>
      <x:c r="F100" s="60" t="n">
        <x:f>MAX(D100-E100, 0)</x:f>
        <x:v>1</x:v>
      </x:c>
      <x:c r="G100" s="61" t="n">
        <x:f>IF(D100=0,0,ABS(E100/D100))</x:f>
        <x:v>0.5</x:v>
      </x:c>
      <x:c r="H100" s="58" t="n">
        <x:v>11489.688</x:v>
      </x:c>
      <x:c r="I100" s="60" t="n">
        <x:v>1486.71</x:v>
      </x:c>
      <x:c r="J100" s="62" t="n">
        <x:f>IF(H100=0,"No plan at start",I100/H100)</x:f>
        <x:v>2</x:v>
      </x:c>
      <x:c r="K100" s="60" t="n">
        <x:f>MAX(H100-I100, 0)</x:f>
        <x:v>0</x:v>
      </x:c>
      <x:c r="L100" s="60" t="n">
        <x:v>0</x:v>
      </x:c>
      <x:c r="M100" s="60" t="n">
        <x:f>I100+L100</x:f>
        <x:v>3</x:v>
      </x:c>
      <x:c r="N100" s="60" t="n">
        <x:f>M100-H100</x:f>
        <x:v>2</x:v>
      </x:c>
      <x:c r="O100" s="61" t="n">
        <x:f>IF(H100=0,"No plan at start",M100/H100)</x:f>
        <x:v>3</x:v>
      </x:c>
    </x:row>
    <x:row r="101" spans="1:19" hidden="1" outlineLevel="2" collapsed="1" x14ac:dyDescent="0.2">
      <x:c r="B101" s="45" t="inlineStr">
        <x:is>
          <x:t>N707</x:t>
        </x:is>
      </x:c>
      <x:c r="C101" s="46" t="inlineStr">
        <x:is>
          <x:t>Jankowski, Wojciech</x:t>
        </x:is>
      </x:c>
      <x:c r="D101" s="45" t="n">
        <x:v>0</x:v>
      </x:c>
      <x:c r="E101" s="19" t="n">
        <x:v>1945.32</x:v>
      </x:c>
      <x:c r="F101" s="19" t="n">
        <x:f>MAX(D101-E101, 0)</x:f>
        <x:v>1</x:v>
      </x:c>
      <x:c r="G101" s="47" t="n">
        <x:f>IF(D101=0,0,ABS(E101/D101))</x:f>
        <x:v>0.5</x:v>
      </x:c>
      <x:c r="H101" s="52"/>
      <x:c r="I101" s="50"/>
      <x:c r="J101" s="50"/>
      <x:c r="K101" s="51"/>
      <x:c r="L101" s="19" t="n">
        <x:v>0</x:v>
      </x:c>
      <x:c r="M101" s="50"/>
      <x:c r="N101" s="50"/>
      <x:c r="O101" s="70"/>
    </x:row>
    <x:row r="102" spans="1:19" hidden="1" outlineLevel="2" collapsed="1" x14ac:dyDescent="0.2">
      <x:c r="B102" s="45" t="inlineStr">
        <x:is>
          <x:t>N707</x:t>
        </x:is>
      </x:c>
      <x:c r="C102" s="46" t="inlineStr">
        <x:is>
          <x:t>Szczesny, Damian</x:t>
        </x:is>
      </x:c>
      <x:c r="D102" s="45" t="n">
        <x:v>0</x:v>
      </x:c>
      <x:c r="E102" s="19" t="n">
        <x:v>553.095</x:v>
      </x:c>
      <x:c r="F102" s="19" t="n">
        <x:f>MAX(D102-E102, 0)</x:f>
        <x:v>1</x:v>
      </x:c>
      <x:c r="G102" s="47" t="n">
        <x:f>IF(D102=0,0,ABS(E102/D102))</x:f>
        <x:v>0.5</x:v>
      </x:c>
      <x:c r="H102" s="53"/>
      <x:c r="I102" s="54"/>
      <x:c r="J102" s="54"/>
      <x:c r="K102" s="55"/>
      <x:c r="L102" s="19" t="n">
        <x:v>0</x:v>
      </x:c>
      <x:c r="M102" s="54"/>
      <x:c r="N102" s="54"/>
      <x:c r="O102" s="71"/>
    </x:row>
    <x:row r="103" spans="1:19" outlineLevel="1" x14ac:dyDescent="0.2">
      <x:c r="B103" s="58" t="inlineStr">
        <x:v>49</x:v>
        <x:is>
          <x:t>Total N707</x:t>
        </x:is>
      </x:c>
      <x:c r="C103" s="59"/>
      <x:c r="D103" s="58" t="n">
        <x:v>0</x:v>
      </x:c>
      <x:c r="E103" s="60" t="n">
        <x:v>2498.415</x:v>
      </x:c>
      <x:c r="F103" s="60" t="n">
        <x:f>MAX(D103-E103, 0)</x:f>
        <x:v>1</x:v>
      </x:c>
      <x:c r="G103" s="61" t="n">
        <x:f>IF(D103=0,0,ABS(E103/D103))</x:f>
        <x:v>0.5</x:v>
      </x:c>
      <x:c r="H103" s="58" t="n">
        <x:v>67303.656</x:v>
      </x:c>
      <x:c r="I103" s="60" t="n">
        <x:v>12586.335</x:v>
      </x:c>
      <x:c r="J103" s="62" t="n">
        <x:f>IF(H103=0,"No plan at start",I103/H103)</x:f>
        <x:v>2</x:v>
      </x:c>
      <x:c r="K103" s="60" t="n">
        <x:f>MAX(H103-I103, 0)</x:f>
        <x:v>0</x:v>
      </x:c>
      <x:c r="L103" s="60" t="n">
        <x:v>0</x:v>
      </x:c>
      <x:c r="M103" s="60" t="n">
        <x:f>I103+L103</x:f>
        <x:v>3</x:v>
      </x:c>
      <x:c r="N103" s="60" t="n">
        <x:f>M103-H103</x:f>
        <x:v>2</x:v>
      </x:c>
      <x:c r="O103" s="61" t="n">
        <x:f>IF(H103=0,"No plan at start",M103/H103)</x:f>
        <x:v>3</x:v>
      </x:c>
    </x:row>
    <x:row r="104" spans="1:19" hidden="1" outlineLevel="2" collapsed="1" x14ac:dyDescent="0.2">
      <x:c r="B104" s="45" t="inlineStr">
        <x:is>
          <x:t>O167</x:t>
        </x:is>
      </x:c>
      <x:c r="C104" s="46" t="inlineStr">
        <x:is>
          <x:t>Podgorski, Mateusz</x:t>
        </x:is>
      </x:c>
      <x:c r="D104" s="45" t="n">
        <x:v>0</x:v>
      </x:c>
      <x:c r="E104" s="19" t="n">
        <x:v>0</x:v>
      </x:c>
      <x:c r="F104" s="19" t="n">
        <x:f>MAX(D104-E104, 0)</x:f>
        <x:v>1</x:v>
      </x:c>
      <x:c r="G104" s="47" t="n">
        <x:f>IF(D104=0,0,ABS(E104/D104))</x:f>
        <x:v>0.5</x:v>
      </x:c>
      <x:c r="H104" s="52"/>
      <x:c r="I104" s="50"/>
      <x:c r="J104" s="50"/>
      <x:c r="K104" s="51"/>
      <x:c r="L104" s="19" t="n">
        <x:v>1092</x:v>
      </x:c>
      <x:c r="M104" s="50"/>
      <x:c r="N104" s="50"/>
      <x:c r="O104" s="70"/>
    </x:row>
    <x:row r="105" spans="1:19" ht="13.5" outlineLevel="1" thickBot="1" x14ac:dyDescent="0.25">
      <x:c r="B105" s="63" t="inlineStr">
        <x:v>49</x:v>
        <x:is>
          <x:t>Total O167</x:t>
        </x:is>
      </x:c>
      <x:c r="C105" s="64"/>
      <x:c r="D105" s="63" t="n">
        <x:v>0</x:v>
      </x:c>
      <x:c r="E105" s="65" t="n">
        <x:v>0</x:v>
      </x:c>
      <x:c r="F105" s="65" t="n">
        <x:f>MAX(D105-E105, 0)</x:f>
        <x:v>0</x:v>
      </x:c>
      <x:c r="G105" s="66" t="n">
        <x:f>IF(D105=0,0,ABS(E105/D105))</x:f>
        <x:v>4</x:v>
      </x:c>
      <x:c r="H105" s="63" t="n">
        <x:v>0</x:v>
      </x:c>
      <x:c r="I105" s="65" t="n">
        <x:v>0</x:v>
      </x:c>
      <x:c r="J105" s="67" t="n">
        <x:f>IF(H105=0,"No plan at start",I105/H105)</x:f>
        <x:v>0.5</x:v>
      </x:c>
      <x:c r="K105" s="65" t="n">
        <x:f>MAX(H105-I105, 0)</x:f>
        <x:v>1</x:v>
      </x:c>
      <x:c r="L105" s="65" t="n">
        <x:v>1092</x:v>
      </x:c>
      <x:c r="M105" s="65" t="n">
        <x:f>I105+L105</x:f>
        <x:v>6</x:v>
      </x:c>
      <x:c r="N105" s="65" t="n">
        <x:f>M105-H105</x:f>
        <x:v>4</x:v>
      </x:c>
      <x:c r="O105" s="66" t="n">
        <x:f>IF(H105=0,"No plan at start",M105/H105)</x:f>
        <x:v>3</x:v>
      </x:c>
    </x:row>
    <x:row r="106" x14ac:dyDescent="0.2"/>
  </x:sheetData>
  <x:mergeCells count="9">
    <x:mergeCell ref="B2:C2"/>
    <x:mergeCell ref="F2:G2"/>
    <x:mergeCell ref="F4:G4"/>
    <x:mergeCell ref="F5:O7"/>
    <x:mergeCell ref="F8:M9"/>
    <x:mergeCell ref="D14:G14"/>
    <x:mergeCell ref="H14:O14"/>
    <x:mergeCell ref="D62:G62"/>
    <x:mergeCell ref="H62:O62"/>
  </x:mergeCells>
  <x:conditionalFormatting sqref="F17:F57 F65:F105">
    <x:cfRule type="cellIs" dxfId="11" priority="5" operator="greaterThan">
      <x:formula>0</x:formula>
    </x:cfRule>
    <x:cfRule type="cellIs" dxfId="10" priority="6" operator="lessThanOrEqual">
      <x:formula>0</x:formula>
    </x:cfRule>
  </x:conditionalFormatting>
  <x:conditionalFormatting sqref="N23 N25 N30 N32 N37 N40 N42 N45 N47 N50 N52 N55 N57 N71 N73 N78 N80 N85 N88 N90 N93 N95 N98 N100 N103 N105">
    <x:cfRule type="cellIs" dxfId="9" priority="4" operator="greaterThan">
      <x:formula>0</x:formula>
    </x:cfRule>
    <x:cfRule type="cellIs" dxfId="8" priority="3" operator="lessThanOrEqual">
      <x:formula>0</x:formula>
    </x:cfRule>
  </x:conditionalFormatting>
  <x:conditionalFormatting sqref="K23 K25 K30 K32 K37 K40 K42 K45 K47 K50 K52 K55 K57 K71 K73 K78 K80 K85 K88 K90 K93 K95 K98 K100 K103 K105">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