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<sst xmlns="http://schemas.openxmlformats.org/spreadsheetml/2006/main" count="79" uniqueCount="50">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</sst>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Project Management</x:t>
        </x:is>
      </x:c>
      <x:c r="D4" s="27"/>
      <x:c r="E4" s="6"/>
      <x:c r="F4" s="84" t="s">
        <x:v>4</x:v>
      </x:c>
      <x:c r="G4" s="85"/>
      <x:c r="N4" s="6"/>
    </x:row>
    <x:row r="5" spans="1:16" s="7" customFormat="1" ht="33.75" customHeight="1" thickBot="1" x14ac:dyDescent="0.25">
      <x:c r="A5" s="5"/>
      <x:c r="B5" s="9" t="s">
        <x:v>0</x:v>
      </x:c>
      <x:c r="C5" s="10" t="inlineStr">
        <x:v>29</x:v>
        <x:is>
          <x:t>Project Organization</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Project Managers</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Piotr Klek</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Piotr Klek</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Furtak, Dariusz</x:t>
        </x:is>
      </x:c>
      <x:c r="D17" s="45" t="n">
        <x:v>168</x:v>
      </x:c>
      <x:c r="E17" s="19" t="n">
        <x:v>76</x:v>
      </x:c>
      <x:c r="F17" s="19" t="n">
        <x:f>MAX(D17-E17, 0)</x:f>
        <x:v>1</x:v>
      </x:c>
      <x:c r="G17" s="47" t="n">
        <x:f>IF(D17=0,0,ABS(E17/D17))</x:f>
        <x:v>0.5</x:v>
      </x:c>
      <x:c r="H17" s="52"/>
      <x:c r="I17" s="50"/>
      <x:c r="J17" s="50"/>
      <x:c r="K17" s="51"/>
      <x:c r="L17" s="19" t="n">
        <x:v>2476.8</x:v>
      </x:c>
      <x:c r="M17" s="56"/>
      <x:c r="N17" s="50"/>
      <x:c r="O17" s="70"/>
      <x:c r="P17" s="29"/>
      <x:c r="Q17" s="30"/>
      <x:c r="R17" s="31"/>
      <x:c r="S17" s="31"/>
    </x:row>
    <x:row r="18" spans="1:19" s="7" customFormat="1" outlineLevel="1" x14ac:dyDescent="0.2">
      <x:c r="A18" s="5"/>
      <x:c r="B18" s="58" t="inlineStr">
        <x:v>49</x:v>
        <x:is>
          <x:t>Total E872</x:t>
        </x:is>
      </x:c>
      <x:c r="C18" s="59"/>
      <x:c r="D18" s="58" t="n">
        <x:v>168</x:v>
      </x:c>
      <x:c r="E18" s="60" t="n">
        <x:v>76</x:v>
      </x:c>
      <x:c r="F18" s="60" t="n">
        <x:f>MAX(D18-E18, 0)</x:f>
        <x:v>1</x:v>
      </x:c>
      <x:c r="G18" s="61" t="n">
        <x:f>IF(D18=0,0,ABS(E18/D18))</x:f>
        <x:v>0.5</x:v>
      </x:c>
      <x:c r="H18" s="58" t="n">
        <x:v>0</x:v>
      </x:c>
      <x:c r="I18" s="60" t="n">
        <x:v>3947.25</x:v>
      </x:c>
      <x:c r="J18" s="62" t="n">
        <x:f>IF(H18=0,"No plan at start",I18/H18)</x:f>
        <x:v>2</x:v>
      </x:c>
      <x:c r="K18" s="60" t="n">
        <x:f>MAX(H18-I18, 0)</x:f>
        <x:v>0</x:v>
      </x:c>
      <x:c r="L18" s="60" t="n">
        <x:v>2476.8</x:v>
      </x:c>
      <x:c r="M18" s="60" t="n">
        <x:f>I18+L18</x:f>
        <x:v>3</x:v>
      </x:c>
      <x:c r="N18" s="60" t="n">
        <x:f>M18-H18</x:f>
        <x:v>2</x:v>
      </x:c>
      <x:c r="O18" s="61" t="n">
        <x:f>IF(H18=0,"No plan at start",M18/H18)</x:f>
        <x:v>3</x:v>
      </x:c>
      <x:c r="P18" s="29"/>
      <x:c r="Q18" s="30"/>
      <x:c r="R18" s="31"/>
      <x:c r="S18" s="31"/>
    </x:row>
    <x:row r="19" spans="1:19" s="7" customFormat="1" hidden="1" outlineLevel="2" collapsed="1" x14ac:dyDescent="0.2">
      <x:c r="A19" s="5"/>
      <x:c r="B19" s="45" t="inlineStr">
        <x:is>
          <x:t>H919</x:t>
        </x:is>
      </x:c>
      <x:c r="C19" s="46" t="inlineStr">
        <x:is>
          <x:t>Bogucki, Michal</x:t>
        </x:is>
      </x:c>
      <x:c r="D19" s="45" t="n">
        <x:v>0</x:v>
      </x:c>
      <x:c r="E19" s="19" t="n">
        <x:v>25</x:v>
      </x:c>
      <x:c r="F19" s="19" t="n">
        <x:f>MAX(D19-E19, 0)</x:f>
        <x:v>1</x:v>
      </x:c>
      <x:c r="G19" s="47" t="n">
        <x:f>IF(D19=0,0,ABS(E19/D19))</x:f>
        <x:v>0.5</x:v>
      </x:c>
      <x:c r="H19" s="52"/>
      <x:c r="I19" s="50"/>
      <x:c r="J19" s="50"/>
      <x:c r="K19" s="51"/>
      <x:c r="L19" s="19" t="n">
        <x:v>40</x:v>
      </x:c>
      <x:c r="M19" s="56"/>
      <x:c r="N19" s="50"/>
      <x:c r="O19" s="70"/>
      <x:c r="P19" s="29"/>
      <x:c r="Q19" s="30"/>
      <x:c r="R19" s="31"/>
      <x:c r="S19" s="31"/>
    </x:row>
    <x:row r="20" spans="1:19" s="7" customFormat="1" outlineLevel="1" x14ac:dyDescent="0.2">
      <x:c r="A20" s="5"/>
      <x:c r="B20" s="58" t="inlineStr">
        <x:v>49</x:v>
        <x:is>
          <x:t>Total H919</x:t>
        </x:is>
      </x:c>
      <x:c r="C20" s="59"/>
      <x:c r="D20" s="58" t="n">
        <x:v>0</x:v>
      </x:c>
      <x:c r="E20" s="60" t="n">
        <x:v>25</x:v>
      </x:c>
      <x:c r="F20" s="60" t="n">
        <x:f>MAX(D20-E20, 0)</x:f>
        <x:v>1</x:v>
      </x:c>
      <x:c r="G20" s="61" t="n">
        <x:f>IF(D20=0,0,ABS(E20/D20))</x:f>
        <x:v>0.5</x:v>
      </x:c>
      <x:c r="H20" s="58" t="n">
        <x:v>0</x:v>
      </x:c>
      <x:c r="I20" s="60" t="n">
        <x:v>1003.25</x:v>
      </x:c>
      <x:c r="J20" s="62" t="n">
        <x:f>IF(H20=0,"No plan at start",I20/H20)</x:f>
        <x:v>2</x:v>
      </x:c>
      <x:c r="K20" s="60" t="n">
        <x:f>MAX(H20-I20, 0)</x:f>
        <x:v>0</x:v>
      </x:c>
      <x:c r="L20" s="60" t="n">
        <x:v>40</x:v>
      </x:c>
      <x:c r="M20" s="60" t="n">
        <x:f>I20+L20</x:f>
        <x:v>3</x:v>
      </x:c>
      <x:c r="N20" s="60" t="n">
        <x:f>M20-H20</x:f>
        <x:v>2</x:v>
      </x:c>
      <x:c r="O20" s="61" t="n">
        <x:f>IF(H20=0,"No plan at start",M20/H20)</x:f>
        <x:v>3</x:v>
      </x:c>
      <x:c r="P20" s="29"/>
      <x:c r="Q20" s="30"/>
      <x:c r="R20" s="31"/>
      <x:c r="S20" s="31"/>
    </x:row>
    <x:row r="21" spans="1:19" s="7" customFormat="1" hidden="1" outlineLevel="2" collapsed="1" x14ac:dyDescent="0.2">
      <x:c r="A21" s="5"/>
      <x:c r="B21" s="45" t="inlineStr">
        <x:is>
          <x:t>N386</x:t>
        </x:is>
      </x:c>
      <x:c r="C21" s="46" t="inlineStr">
        <x:is>
          <x:t>Piecyk, Tomasz</x:t>
        </x:is>
      </x:c>
      <x:c r="D21" s="45" t="n">
        <x:v>34</x:v>
      </x:c>
      <x:c r="E21" s="19" t="n">
        <x:v>0</x:v>
      </x:c>
      <x:c r="F21" s="19" t="n">
        <x:f>MAX(D21-E21, 0)</x:f>
        <x:v>1</x:v>
      </x:c>
      <x:c r="G21" s="47" t="n">
        <x:f>IF(D21=0,0,ABS(E21/D21))</x:f>
        <x:v>0.5</x:v>
      </x:c>
      <x:c r="H21" s="52"/>
      <x:c r="I21" s="50"/>
      <x:c r="J21" s="50"/>
      <x:c r="K21" s="51"/>
      <x:c r="L21" s="19" t="n">
        <x:v>90.35</x:v>
      </x:c>
      <x:c r="M21" s="56"/>
      <x:c r="N21" s="50"/>
      <x:c r="O21" s="70"/>
      <x:c r="P21" s="29"/>
      <x:c r="Q21" s="30"/>
      <x:c r="R21" s="31"/>
      <x:c r="S21" s="31"/>
    </x:row>
    <x:row r="22" spans="1:19" s="7" customFormat="1" outlineLevel="1" x14ac:dyDescent="0.2">
      <x:c r="A22" s="5"/>
      <x:c r="B22" s="58" t="inlineStr">
        <x:v>49</x:v>
        <x:is>
          <x:t>Total N386</x:t>
        </x:is>
      </x:c>
      <x:c r="C22" s="59"/>
      <x:c r="D22" s="58" t="n">
        <x:v>34</x:v>
      </x:c>
      <x:c r="E22" s="60" t="n">
        <x:v>0</x:v>
      </x:c>
      <x:c r="F22" s="60" t="n">
        <x:f>MAX(D22-E22, 0)</x:f>
        <x:v>1</x:v>
      </x:c>
      <x:c r="G22" s="61" t="n">
        <x:f>IF(D22=0,0,ABS(E22/D22))</x:f>
        <x:v>0.5</x:v>
      </x:c>
      <x:c r="H22" s="58" t="n">
        <x:v>0</x:v>
      </x:c>
      <x:c r="I22" s="60" t="n">
        <x:v>63.5</x:v>
      </x:c>
      <x:c r="J22" s="62" t="n">
        <x:f>IF(H22=0,"No plan at start",I22/H22)</x:f>
        <x:v>2</x:v>
      </x:c>
      <x:c r="K22" s="60" t="n">
        <x:f>MAX(H22-I22, 0)</x:f>
        <x:v>0</x:v>
      </x:c>
      <x:c r="L22" s="60" t="n">
        <x:v>90.35</x:v>
      </x:c>
      <x:c r="M22" s="60" t="n">
        <x:f>I22+L22</x:f>
        <x:v>3</x:v>
      </x:c>
      <x:c r="N22" s="60" t="n">
        <x:f>M22-H22</x:f>
        <x:v>2</x:v>
      </x:c>
      <x:c r="O22" s="61" t="n">
        <x:f>IF(H22=0,"No plan at start",M22/H22)</x:f>
        <x:v>3</x:v>
      </x:c>
      <x:c r="P22" s="29"/>
      <x:c r="Q22" s="30"/>
      <x:c r="R22" s="31"/>
      <x:c r="S22" s="31"/>
    </x:row>
    <x:row r="23" spans="1:19" s="7" customFormat="1" hidden="1" outlineLevel="2" collapsed="1" x14ac:dyDescent="0.2">
      <x:c r="A23" s="5"/>
      <x:c r="B23" s="45" t="inlineStr">
        <x:is>
          <x:t>N485</x:t>
        </x:is>
      </x:c>
      <x:c r="C23" s="46" t="inlineStr">
        <x:is>
          <x:t>Bogucki, Michal</x:t>
        </x:is>
      </x:c>
      <x:c r="D23" s="45" t="n">
        <x:v>0</x:v>
      </x:c>
      <x:c r="E23" s="19" t="n">
        <x:v>34</x:v>
      </x:c>
      <x:c r="F23" s="19" t="n">
        <x:f>MAX(D23-E23, 0)</x:f>
        <x:v>1</x:v>
      </x:c>
      <x:c r="G23" s="47" t="n">
        <x:f>IF(D23=0,0,ABS(E23/D23))</x:f>
        <x:v>0.5</x:v>
      </x:c>
      <x:c r="H23" s="52"/>
      <x:c r="I23" s="50"/>
      <x:c r="J23" s="50"/>
      <x:c r="K23" s="51"/>
      <x:c r="L23" s="19" t="n">
        <x:v>0</x:v>
      </x:c>
      <x:c r="M23" s="56"/>
      <x:c r="N23" s="50"/>
      <x:c r="O23" s="70"/>
      <x:c r="P23" s="29"/>
      <x:c r="Q23" s="30"/>
      <x:c r="R23" s="31"/>
      <x:c r="S23" s="31"/>
    </x:row>
    <x:row r="24" spans="1:19" s="7" customFormat="1" outlineLevel="1" x14ac:dyDescent="0.2">
      <x:c r="A24" s="5"/>
      <x:c r="B24" s="58" t="inlineStr">
        <x:v>49</x:v>
        <x:is>
          <x:t>Total N485</x:t>
        </x:is>
      </x:c>
      <x:c r="C24" s="59"/>
      <x:c r="D24" s="58" t="n">
        <x:v>0</x:v>
      </x:c>
      <x:c r="E24" s="60" t="n">
        <x:v>34</x:v>
      </x:c>
      <x:c r="F24" s="60" t="n">
        <x:f>MAX(D24-E24, 0)</x:f>
        <x:v>1</x:v>
      </x:c>
      <x:c r="G24" s="61" t="n">
        <x:f>IF(D24=0,0,ABS(E24/D24))</x:f>
        <x:v>0.5</x:v>
      </x:c>
      <x:c r="H24" s="58" t="n">
        <x:v>0</x:v>
      </x:c>
      <x:c r="I24" s="60" t="n">
        <x:v>423.5</x:v>
      </x:c>
      <x:c r="J24" s="62" t="n">
        <x:f>IF(H24=0,"No plan at start",I24/H24)</x:f>
        <x:v>2</x:v>
      </x:c>
      <x:c r="K24" s="60" t="n">
        <x:f>MAX(H24-I24, 0)</x:f>
        <x:v>0</x:v>
      </x:c>
      <x:c r="L24" s="60" t="n">
        <x:v>0</x:v>
      </x:c>
      <x:c r="M24" s="60" t="n">
        <x:f>I24+L24</x:f>
        <x:v>3</x:v>
      </x:c>
      <x:c r="N24" s="60" t="n">
        <x:f>M24-H24</x:f>
        <x:v>2</x:v>
      </x:c>
      <x:c r="O24" s="61" t="n">
        <x:f>IF(H24=0,"No plan at start",M24/H24)</x:f>
        <x:v>3</x:v>
      </x:c>
      <x:c r="P24" s="29"/>
      <x:c r="Q24" s="30"/>
      <x:c r="R24" s="31"/>
      <x:c r="S24" s="31"/>
    </x:row>
    <x:row r="25" spans="1:19" s="7" customFormat="1" hidden="1" outlineLevel="2" collapsed="1" x14ac:dyDescent="0.2">
      <x:c r="A25" s="5"/>
      <x:c r="B25" s="45" t="inlineStr">
        <x:is>
          <x:t>N706</x:t>
        </x:is>
      </x:c>
      <x:c r="C25" s="46" t="inlineStr">
        <x:is>
          <x:t>Bogucki, Michal</x:t>
        </x:is>
      </x:c>
      <x:c r="D25" s="45" t="n">
        <x:v>0</x:v>
      </x:c>
      <x:c r="E25" s="19" t="n">
        <x:v>10</x:v>
      </x:c>
      <x:c r="F25" s="19" t="n">
        <x:f>MAX(D25-E25, 0)</x:f>
        <x:v>1</x:v>
      </x:c>
      <x:c r="G25" s="47" t="n">
        <x:f>IF(D25=0,0,ABS(E25/D25))</x:f>
        <x:v>0.5</x:v>
      </x:c>
      <x:c r="H25" s="52"/>
      <x:c r="I25" s="50"/>
      <x:c r="J25" s="50"/>
      <x:c r="K25" s="51"/>
      <x:c r="L25" s="19" t="n">
        <x:v>0</x:v>
      </x:c>
      <x:c r="M25" s="56"/>
      <x:c r="N25" s="50"/>
      <x:c r="O25" s="70"/>
      <x:c r="P25" s="29"/>
      <x:c r="Q25" s="30"/>
      <x:c r="R25" s="31"/>
      <x:c r="S25" s="31"/>
    </x:row>
    <x:row r="26" spans="1:19" s="7" customFormat="1" outlineLevel="1" x14ac:dyDescent="0.2">
      <x:c r="A26" s="5"/>
      <x:c r="B26" s="58" t="inlineStr">
        <x:v>49</x:v>
        <x:is>
          <x:t>Total N706</x:t>
        </x:is>
      </x:c>
      <x:c r="C26" s="59"/>
      <x:c r="D26" s="58" t="n">
        <x:v>0</x:v>
      </x:c>
      <x:c r="E26" s="60" t="n">
        <x:v>10</x:v>
      </x:c>
      <x:c r="F26" s="60" t="n">
        <x:f>MAX(D26-E26, 0)</x:f>
        <x:v>1</x:v>
      </x:c>
      <x:c r="G26" s="61" t="n">
        <x:f>IF(D26=0,0,ABS(E26/D26))</x:f>
        <x:v>0.5</x:v>
      </x:c>
      <x:c r="H26" s="58" t="n">
        <x:v>0</x:v>
      </x:c>
      <x:c r="I26" s="60" t="n">
        <x:v>28</x:v>
      </x:c>
      <x:c r="J26" s="62" t="n">
        <x:f>IF(H26=0,"No plan at start",I26/H26)</x:f>
        <x:v>2</x:v>
      </x:c>
      <x:c r="K26" s="60" t="n">
        <x:f>MAX(H26-I26, 0)</x:f>
        <x:v>0</x:v>
      </x:c>
      <x:c r="L26" s="60" t="n">
        <x:v>0</x:v>
      </x:c>
      <x:c r="M26" s="60" t="n">
        <x:f>I26+L26</x:f>
        <x:v>3</x:v>
      </x:c>
      <x:c r="N26" s="60" t="n">
        <x:f>M26-H26</x:f>
        <x:v>2</x:v>
      </x:c>
      <x:c r="O26" s="61" t="n">
        <x:f>IF(H26=0,"No plan at start",M26/H26)</x:f>
        <x:v>3</x:v>
      </x:c>
      <x:c r="P26" s="29"/>
      <x:c r="Q26" s="30"/>
      <x:c r="R26" s="31"/>
      <x:c r="S26" s="31"/>
    </x:row>
    <x:row r="27" spans="1:19" s="7" customFormat="1" hidden="1" outlineLevel="2" collapsed="1" x14ac:dyDescent="0.2">
      <x:c r="A27" s="5"/>
      <x:c r="B27" s="45" t="inlineStr">
        <x:is>
          <x:t>N707</x:t>
        </x:is>
      </x:c>
      <x:c r="C27" s="46" t="inlineStr">
        <x:is>
          <x:t>Bogucki, Michal</x:t>
        </x:is>
      </x:c>
      <x:c r="D27" s="45" t="n">
        <x:v>0</x:v>
      </x:c>
      <x:c r="E27" s="19" t="n">
        <x:v>11</x:v>
      </x:c>
      <x:c r="F27" s="19" t="n">
        <x:f>MAX(D27-E27, 0)</x:f>
        <x:v>1</x:v>
      </x:c>
      <x:c r="G27" s="47" t="n">
        <x:f>IF(D27=0,0,ABS(E27/D27))</x:f>
        <x:v>0.5</x:v>
      </x:c>
      <x:c r="H27" s="52"/>
      <x:c r="I27" s="50"/>
      <x:c r="J27" s="50"/>
      <x:c r="K27" s="51"/>
      <x:c r="L27" s="19" t="n">
        <x:v>0</x:v>
      </x:c>
      <x:c r="M27" s="56"/>
      <x:c r="N27" s="50"/>
      <x:c r="O27" s="70"/>
      <x:c r="P27" s="29"/>
      <x:c r="Q27" s="30"/>
      <x:c r="R27" s="31"/>
      <x:c r="S27" s="31"/>
    </x:row>
    <x:row r="28" spans="1:19" s="7" customFormat="1" ht="13.5" outlineLevel="1" thickBot="1" x14ac:dyDescent="0.25">
      <x:c r="A28" s="5"/>
      <x:c r="B28" s="63" t="inlineStr">
        <x:v>49</x:v>
        <x:is>
          <x:t>Total N707</x:t>
        </x:is>
      </x:c>
      <x:c r="C28" s="64"/>
      <x:c r="D28" s="63" t="n">
        <x:v>0</x:v>
      </x:c>
      <x:c r="E28" s="65" t="n">
        <x:v>11</x:v>
      </x:c>
      <x:c r="F28" s="65" t="n">
        <x:f>MAX(D28-E28, 0)</x:f>
        <x:v>0</x:v>
      </x:c>
      <x:c r="G28" s="66" t="n">
        <x:f>IF(D28=0,0,ABS(E28/D28))</x:f>
        <x:v>0</x:v>
      </x:c>
      <x:c r="H28" s="63" t="n">
        <x:v>0</x:v>
      </x:c>
      <x:c r="I28" s="65" t="n">
        <x:v>33</x:v>
      </x:c>
      <x:c r="J28" s="67" t="n">
        <x:f>IF(H28=0,"No plan at start",I28/H28)</x:f>
        <x:v>0.5</x:v>
      </x:c>
      <x:c r="K28" s="65" t="n">
        <x:f>MAX(H28-I28, 0)</x:f>
        <x:v>1</x:v>
      </x:c>
      <x:c r="L28" s="65" t="n">
        <x:v>0</x:v>
      </x:c>
      <x:c r="M28" s="65" t="n">
        <x:f>I28+L28</x:f>
        <x:v>6</x:v>
      </x:c>
      <x:c r="N28" s="65" t="n">
        <x:f>M28-H28</x:f>
        <x:v>4</x:v>
      </x:c>
      <x:c r="O28" s="66" t="n">
        <x:f>IF(H28=0,"No plan at start",M28/H28)</x:f>
        <x:v>3</x:v>
      </x:c>
      <x:c r="P28" s="29"/>
      <x:c r="Q28" s="30"/>
      <x:c r="R28" s="31"/>
      <x:c r="S28" s="31"/>
    </x:row>
    <x:row r="29" x14ac:dyDescent="0.2"/>
    <x:row r="30" x14ac:dyDescent="0.2"/>
    <x:row r="31" spans="1:19" x14ac:dyDescent="0.2">
      <x:c r="B31" s="14" t="s">
        <x:v>30</x:v>
      </x:c>
      <x:c r="C31" s="15"/>
      <x:c r="D31" s="15"/>
      <x:c r="E31" s="15"/>
      <x:c r="F31" s="16"/>
      <x:c r="G31" s="16"/>
      <x:c r="H31" s="17"/>
      <x:c r="I31" s="7"/>
      <x:c r="J31" s="7"/>
      <x:c r="K31" s="18"/>
      <x:c r="L31" s="7"/>
      <x:c r="M31" s="25"/>
      <x:c r="N31" s="7"/>
      <x:c r="O31" s="7"/>
    </x:row>
    <x:row r="32" spans="1:19" ht="13.5" thickBot="1" x14ac:dyDescent="0.25">
      <x:c r="B32" s="7"/>
      <x:c r="C32" s="7"/>
      <x:c r="D32" s="7"/>
      <x:c r="E32" s="7"/>
      <x:c r="F32" s="7"/>
      <x:c r="G32" s="7"/>
      <x:c r="H32" s="7"/>
      <x:c r="I32" s="7"/>
      <x:c r="J32" s="7"/>
      <x:c r="K32" s="7"/>
      <x:c r="L32" s="7"/>
      <x:c r="M32" s="7"/>
      <x:c r="N32" s="7"/>
      <x:c r="O32" s="7"/>
    </x:row>
    <x:row r="33" spans="1:19" x14ac:dyDescent="0.2">
      <x:c r="B33" s="48"/>
      <x:c r="C33" s="49"/>
      <x:c r="D33" s="77" t="s">
        <x:v>39</x:v>
      </x:c>
      <x:c r="E33" s="78"/>
      <x:c r="F33" s="78"/>
      <x:c r="G33" s="79"/>
      <x:c r="H33" s="77" t="s">
        <x:v>40</x:v>
      </x:c>
      <x:c r="I33" s="78"/>
      <x:c r="J33" s="78"/>
      <x:c r="K33" s="78"/>
      <x:c r="L33" s="78"/>
      <x:c r="M33" s="78"/>
      <x:c r="N33" s="78"/>
      <x:c r="O33" s="79"/>
    </x:row>
    <x:row r="34" spans="1:19" x14ac:dyDescent="0.2">
      <x:c r="B34" s="68"/>
      <x:c r="C34" s="69"/>
      <x:c r="D34" s="36" t="s">
        <x:v>2</x:v>
      </x:c>
      <x:c r="E34" s="38" t="s">
        <x:v>3</x:v>
      </x:c>
      <x:c r="F34" s="38" t="s">
        <x:v>44</x:v>
      </x:c>
      <x:c r="G34" s="37" t="s">
        <x:v>41</x:v>
      </x:c>
      <x:c r="H34" s="36" t="s">
        <x:v>20</x:v>
      </x:c>
      <x:c r="I34" s="38" t="s">
        <x:v>34</x:v>
      </x:c>
      <x:c r="J34" s="39" t="s">
        <x:v>35</x:v>
      </x:c>
      <x:c r="K34" s="39" t="s">
        <x:v>36</x:v>
      </x:c>
      <x:c r="L34" s="38" t="s">
        <x:v>19</x:v>
      </x:c>
      <x:c r="M34" s="38" t="s">
        <x:v>37</x:v>
      </x:c>
      <x:c r="N34" s="38" t="s">
        <x:v>22</x:v>
      </x:c>
      <x:c r="O34" s="37" t="s">
        <x:v>23</x:v>
      </x:c>
    </x:row>
    <x:row r="35" spans="1:19" ht="76.5" x14ac:dyDescent="0.2">
      <x:c r="B35" s="40" t="s">
        <x:v>14</x:v>
      </x:c>
      <x:c r="C35" s="41" t="s">
        <x:v>28</x:v>
      </x:c>
      <x:c r="D35" s="40" t="s">
        <x:v>45</x:v>
      </x:c>
      <x:c r="E35" s="42" t="s">
        <x:v>15</x:v>
      </x:c>
      <x:c r="F35" s="42" t="s">
        <x:v>42</x:v>
      </x:c>
      <x:c r="G35" s="41" t="s">
        <x:v>43</x:v>
      </x:c>
      <x:c r="H35" s="40" t="s">
        <x:v>46</x:v>
      </x:c>
      <x:c r="I35" s="42" t="s">
        <x:v>31</x:v>
      </x:c>
      <x:c r="J35" s="43" t="s">
        <x:v>47</x:v>
      </x:c>
      <x:c r="K35" s="43" t="s">
        <x:v>17</x:v>
      </x:c>
      <x:c r="L35" s="42" t="s">
        <x:v>48</x:v>
      </x:c>
      <x:c r="M35" s="42" t="s">
        <x:v>32</x:v>
      </x:c>
      <x:c r="N35" s="42" t="s">
        <x:v>33</x:v>
      </x:c>
      <x:c r="O35" s="41" t="s">
        <x:v>24</x:v>
      </x:c>
    </x:row>
    <x:row r="36" spans="1:19" hidden="1" outlineLevel="2" collapsed="1" x14ac:dyDescent="0.2">
      <x:c r="B36" s="45" t="inlineStr">
        <x:is>
          <x:t>E872</x:t>
        </x:is>
      </x:c>
      <x:c r="C36" s="46" t="inlineStr">
        <x:is>
          <x:t>Furtak, Dariusz</x:t>
        </x:is>
      </x:c>
      <x:c r="D36" s="45" t="n">
        <x:v>10483.2</x:v>
      </x:c>
      <x:c r="E36" s="19" t="n">
        <x:v>4742.4</x:v>
      </x:c>
      <x:c r="F36" s="19" t="n">
        <x:f>MAX(D36-E36, 0)</x:f>
        <x:v>1</x:v>
      </x:c>
      <x:c r="G36" s="47" t="n">
        <x:f>IF(D36=0,0,ABS(E36/D36))</x:f>
        <x:v>0.5</x:v>
      </x:c>
      <x:c r="H36" s="52"/>
      <x:c r="I36" s="50"/>
      <x:c r="J36" s="50"/>
      <x:c r="K36" s="51"/>
      <x:c r="L36" s="19" t="n">
        <x:v>154552.32</x:v>
      </x:c>
      <x:c r="M36" s="50"/>
      <x:c r="N36" s="50"/>
      <x:c r="O36" s="70"/>
    </x:row>
    <x:row r="37" spans="1:19" outlineLevel="1" x14ac:dyDescent="0.2">
      <x:c r="B37" s="58" t="inlineStr">
        <x:v>49</x:v>
        <x:is>
          <x:t>Total E872</x:t>
        </x:is>
      </x:c>
      <x:c r="C37" s="59"/>
      <x:c r="D37" s="58" t="n">
        <x:v>10483.2</x:v>
      </x:c>
      <x:c r="E37" s="60" t="n">
        <x:v>4742.4</x:v>
      </x:c>
      <x:c r="F37" s="60" t="n">
        <x:f>MAX(D37-E37, 0)</x:f>
        <x:v>1</x:v>
      </x:c>
      <x:c r="G37" s="61" t="n">
        <x:f>IF(D37=0,0,ABS(E37/D37))</x:f>
        <x:v>0.5</x:v>
      </x:c>
      <x:c r="H37" s="58" t="n">
        <x:v>417504.256</x:v>
      </x:c>
      <x:c r="I37" s="60" t="n">
        <x:v>243091.42</x:v>
      </x:c>
      <x:c r="J37" s="62" t="n">
        <x:f>IF(H37=0,"No plan at start",I37/H37)</x:f>
        <x:v>2</x:v>
      </x:c>
      <x:c r="K37" s="60" t="n">
        <x:f>MAX(H37-I37, 0)</x:f>
        <x:v>0</x:v>
      </x:c>
      <x:c r="L37" s="60" t="n">
        <x:v>154552.32</x:v>
      </x:c>
      <x:c r="M37" s="60" t="n">
        <x:f>I37+L37</x:f>
        <x:v>3</x:v>
      </x:c>
      <x:c r="N37" s="60" t="n">
        <x:f>M37-H37</x:f>
        <x:v>2</x:v>
      </x:c>
      <x:c r="O37" s="61" t="n">
        <x:f>IF(H37=0,"No plan at start",M37/H37)</x:f>
        <x:v>3</x:v>
      </x:c>
    </x:row>
    <x:row r="38" spans="1:19" hidden="1" outlineLevel="2" collapsed="1" x14ac:dyDescent="0.2">
      <x:c r="B38" s="45" t="inlineStr">
        <x:is>
          <x:t>H919</x:t>
        </x:is>
      </x:c>
      <x:c r="C38" s="46" t="inlineStr">
        <x:is>
          <x:t>Bogucki, Michal</x:t>
        </x:is>
      </x:c>
      <x:c r="D38" s="45" t="n">
        <x:v>0</x:v>
      </x:c>
      <x:c r="E38" s="19" t="n">
        <x:v>1118.00</x:v>
      </x:c>
      <x:c r="F38" s="19" t="n">
        <x:f>MAX(D38-E38, 0)</x:f>
        <x:v>1</x:v>
      </x:c>
      <x:c r="G38" s="47" t="n">
        <x:f>IF(D38=0,0,ABS(E38/D38))</x:f>
        <x:v>0.5</x:v>
      </x:c>
      <x:c r="H38" s="52"/>
      <x:c r="I38" s="50"/>
      <x:c r="J38" s="50"/>
      <x:c r="K38" s="51"/>
      <x:c r="L38" s="19" t="n">
        <x:v>1788.8</x:v>
      </x:c>
      <x:c r="M38" s="50"/>
      <x:c r="N38" s="50"/>
      <x:c r="O38" s="70"/>
    </x:row>
    <x:row r="39" spans="1:19" outlineLevel="1" x14ac:dyDescent="0.2">
      <x:c r="B39" s="58" t="inlineStr">
        <x:v>49</x:v>
        <x:is>
          <x:t>Total H919</x:t>
        </x:is>
      </x:c>
      <x:c r="C39" s="59"/>
      <x:c r="D39" s="58" t="n">
        <x:v>0</x:v>
      </x:c>
      <x:c r="E39" s="60" t="n">
        <x:v>1118.00</x:v>
      </x:c>
      <x:c r="F39" s="60" t="n">
        <x:f>MAX(D39-E39, 0)</x:f>
        <x:v>1</x:v>
      </x:c>
      <x:c r="G39" s="61" t="n">
        <x:f>IF(D39=0,0,ABS(E39/D39))</x:f>
        <x:v>0.5</x:v>
      </x:c>
      <x:c r="H39" s="58" t="n">
        <x:v>117500.4584</x:v>
      </x:c>
      <x:c r="I39" s="60" t="n">
        <x:v>44865.34</x:v>
      </x:c>
      <x:c r="J39" s="62" t="n">
        <x:f>IF(H39=0,"No plan at start",I39/H39)</x:f>
        <x:v>2</x:v>
      </x:c>
      <x:c r="K39" s="60" t="n">
        <x:f>MAX(H39-I39, 0)</x:f>
        <x:v>0</x:v>
      </x:c>
      <x:c r="L39" s="60" t="n">
        <x:v>1788.8</x:v>
      </x:c>
      <x:c r="M39" s="60" t="n">
        <x:f>I39+L39</x:f>
        <x:v>3</x:v>
      </x:c>
      <x:c r="N39" s="60" t="n">
        <x:f>M39-H39</x:f>
        <x:v>2</x:v>
      </x:c>
      <x:c r="O39" s="61" t="n">
        <x:f>IF(H39=0,"No plan at start",M39/H39)</x:f>
        <x:v>3</x:v>
      </x:c>
    </x:row>
    <x:row r="40" spans="1:19" hidden="1" outlineLevel="2" collapsed="1" x14ac:dyDescent="0.2">
      <x:c r="B40" s="45" t="inlineStr">
        <x:is>
          <x:t>N386</x:t>
        </x:is>
      </x:c>
      <x:c r="C40" s="46" t="inlineStr">
        <x:is>
          <x:t>Piecyk, Tomasz</x:t>
        </x:is>
      </x:c>
      <x:c r="D40" s="45" t="n">
        <x:v>2121.6</x:v>
      </x:c>
      <x:c r="E40" s="19" t="n">
        <x:v>0</x:v>
      </x:c>
      <x:c r="F40" s="19" t="n">
        <x:f>MAX(D40-E40, 0)</x:f>
        <x:v>1</x:v>
      </x:c>
      <x:c r="G40" s="47" t="n">
        <x:f>IF(D40=0,0,ABS(E40/D40))</x:f>
        <x:v>0.5</x:v>
      </x:c>
      <x:c r="H40" s="52"/>
      <x:c r="I40" s="50"/>
      <x:c r="J40" s="50"/>
      <x:c r="K40" s="51"/>
      <x:c r="L40" s="19" t="n">
        <x:v>5637.84</x:v>
      </x:c>
      <x:c r="M40" s="50"/>
      <x:c r="N40" s="50"/>
      <x:c r="O40" s="70"/>
    </x:row>
    <x:row r="41" spans="1:19" outlineLevel="1" x14ac:dyDescent="0.2">
      <x:c r="B41" s="58" t="inlineStr">
        <x:v>49</x:v>
        <x:is>
          <x:t>Total N386</x:t>
        </x:is>
      </x:c>
      <x:c r="C41" s="59"/>
      <x:c r="D41" s="58" t="n">
        <x:v>2121.6</x:v>
      </x:c>
      <x:c r="E41" s="60" t="n">
        <x:v>0</x:v>
      </x:c>
      <x:c r="F41" s="60" t="n">
        <x:f>MAX(D41-E41, 0)</x:f>
        <x:v>1</x:v>
      </x:c>
      <x:c r="G41" s="61" t="n">
        <x:f>IF(D41=0,0,ABS(E41/D41))</x:f>
        <x:v>0.5</x:v>
      </x:c>
      <x:c r="H41" s="58" t="n">
        <x:v>8190.00</x:v>
      </x:c>
      <x:c r="I41" s="60" t="n">
        <x:v>3962.4</x:v>
      </x:c>
      <x:c r="J41" s="62" t="n">
        <x:f>IF(H41=0,"No plan at start",I41/H41)</x:f>
        <x:v>2</x:v>
      </x:c>
      <x:c r="K41" s="60" t="n">
        <x:f>MAX(H41-I41, 0)</x:f>
        <x:v>0</x:v>
      </x:c>
      <x:c r="L41" s="60" t="n">
        <x:v>5637.84</x:v>
      </x:c>
      <x:c r="M41" s="60" t="n">
        <x:f>I41+L41</x:f>
        <x:v>3</x:v>
      </x:c>
      <x:c r="N41" s="60" t="n">
        <x:f>M41-H41</x:f>
        <x:v>2</x:v>
      </x:c>
      <x:c r="O41" s="61" t="n">
        <x:f>IF(H41=0,"No plan at start",M41/H41)</x:f>
        <x:v>3</x:v>
      </x:c>
    </x:row>
    <x:row r="42" spans="1:19" hidden="1" outlineLevel="2" collapsed="1" x14ac:dyDescent="0.2">
      <x:c r="B42" s="45" t="inlineStr">
        <x:is>
          <x:t>N485</x:t>
        </x:is>
      </x:c>
      <x:c r="C42" s="46" t="inlineStr">
        <x:is>
          <x:t>Bogucki, Michal</x:t>
        </x:is>
      </x:c>
      <x:c r="D42" s="45" t="n">
        <x:v>0</x:v>
      </x:c>
      <x:c r="E42" s="19" t="n">
        <x:v>1520.48</x:v>
      </x:c>
      <x:c r="F42" s="19" t="n">
        <x:f>MAX(D42-E42, 0)</x:f>
        <x:v>1</x:v>
      </x:c>
      <x:c r="G42" s="47" t="n">
        <x:f>IF(D42=0,0,ABS(E42/D42))</x:f>
        <x:v>0.5</x:v>
      </x:c>
      <x:c r="H42" s="52"/>
      <x:c r="I42" s="50"/>
      <x:c r="J42" s="50"/>
      <x:c r="K42" s="51"/>
      <x:c r="L42" s="19" t="n">
        <x:v>0</x:v>
      </x:c>
      <x:c r="M42" s="50"/>
      <x:c r="N42" s="50"/>
      <x:c r="O42" s="70"/>
    </x:row>
    <x:row r="43" spans="1:19" outlineLevel="1" x14ac:dyDescent="0.2">
      <x:c r="B43" s="58" t="inlineStr">
        <x:v>49</x:v>
        <x:is>
          <x:t>Total N485</x:t>
        </x:is>
      </x:c>
      <x:c r="C43" s="59"/>
      <x:c r="D43" s="58" t="n">
        <x:v>0</x:v>
      </x:c>
      <x:c r="E43" s="60" t="n">
        <x:v>1520.48</x:v>
      </x:c>
      <x:c r="F43" s="60" t="n">
        <x:f>MAX(D43-E43, 0)</x:f>
        <x:v>1</x:v>
      </x:c>
      <x:c r="G43" s="61" t="n">
        <x:f>IF(D43=0,0,ABS(E43/D43))</x:f>
        <x:v>0.5</x:v>
      </x:c>
      <x:c r="H43" s="58" t="n">
        <x:v>162959.68</x:v>
      </x:c>
      <x:c r="I43" s="60" t="n">
        <x:v>18938.92</x:v>
      </x:c>
      <x:c r="J43" s="62" t="n">
        <x:f>IF(H43=0,"No plan at start",I43/H43)</x:f>
        <x:v>2</x:v>
      </x:c>
      <x:c r="K43" s="60" t="n">
        <x:f>MAX(H43-I43, 0)</x:f>
        <x:v>0</x:v>
      </x:c>
      <x:c r="L43" s="60" t="n">
        <x:v>0</x:v>
      </x:c>
      <x:c r="M43" s="60" t="n">
        <x:f>I43+L43</x:f>
        <x:v>3</x:v>
      </x:c>
      <x:c r="N43" s="60" t="n">
        <x:f>M43-H43</x:f>
        <x:v>2</x:v>
      </x:c>
      <x:c r="O43" s="61" t="n">
        <x:f>IF(H43=0,"No plan at start",M43/H43)</x:f>
        <x:v>3</x:v>
      </x:c>
    </x:row>
    <x:row r="44" spans="1:19" hidden="1" outlineLevel="2" collapsed="1" x14ac:dyDescent="0.2">
      <x:c r="B44" s="45" t="inlineStr">
        <x:is>
          <x:t>N706</x:t>
        </x:is>
      </x:c>
      <x:c r="C44" s="46" t="inlineStr">
        <x:is>
          <x:t>Bogucki, Michal</x:t>
        </x:is>
      </x:c>
      <x:c r="D44" s="45" t="n">
        <x:v>0</x:v>
      </x:c>
      <x:c r="E44" s="19" t="n">
        <x:v>447.20</x:v>
      </x:c>
      <x:c r="F44" s="19" t="n">
        <x:f>MAX(D44-E44, 0)</x:f>
        <x:v>1</x:v>
      </x:c>
      <x:c r="G44" s="47" t="n">
        <x:f>IF(D44=0,0,ABS(E44/D44))</x:f>
        <x:v>0.5</x:v>
      </x:c>
      <x:c r="H44" s="52"/>
      <x:c r="I44" s="50"/>
      <x:c r="J44" s="50"/>
      <x:c r="K44" s="51"/>
      <x:c r="L44" s="19" t="n">
        <x:v>0</x:v>
      </x:c>
      <x:c r="M44" s="50"/>
      <x:c r="N44" s="50"/>
      <x:c r="O44" s="70"/>
    </x:row>
    <x:row r="45" spans="1:19" outlineLevel="1" x14ac:dyDescent="0.2">
      <x:c r="B45" s="58" t="inlineStr">
        <x:v>49</x:v>
        <x:is>
          <x:t>Total N706</x:t>
        </x:is>
      </x:c>
      <x:c r="C45" s="59"/>
      <x:c r="D45" s="58" t="n">
        <x:v>0</x:v>
      </x:c>
      <x:c r="E45" s="60" t="n">
        <x:v>447.20</x:v>
      </x:c>
      <x:c r="F45" s="60" t="n">
        <x:f>MAX(D45-E45, 0)</x:f>
        <x:v>1</x:v>
      </x:c>
      <x:c r="G45" s="61" t="n">
        <x:f>IF(D45=0,0,ABS(E45/D45))</x:f>
        <x:v>0.5</x:v>
      </x:c>
      <x:c r="H45" s="58" t="n">
        <x:v>38316.096</x:v>
      </x:c>
      <x:c r="I45" s="60" t="n">
        <x:v>1252.16</x:v>
      </x:c>
      <x:c r="J45" s="62" t="n">
        <x:f>IF(H45=0,"No plan at start",I45/H45)</x:f>
        <x:v>2</x:v>
      </x:c>
      <x:c r="K45" s="60" t="n">
        <x:f>MAX(H45-I45, 0)</x:f>
        <x:v>0</x:v>
      </x:c>
      <x:c r="L45" s="60" t="n">
        <x:v>0</x:v>
      </x:c>
      <x:c r="M45" s="60" t="n">
        <x:f>I45+L45</x:f>
        <x:v>3</x:v>
      </x:c>
      <x:c r="N45" s="60" t="n">
        <x:f>M45-H45</x:f>
        <x:v>2</x:v>
      </x:c>
      <x:c r="O45" s="61" t="n">
        <x:f>IF(H45=0,"No plan at start",M45/H45)</x:f>
        <x:v>3</x:v>
      </x:c>
    </x:row>
    <x:row r="46" spans="1:19" hidden="1" outlineLevel="2" collapsed="1" x14ac:dyDescent="0.2">
      <x:c r="B46" s="45" t="inlineStr">
        <x:is>
          <x:t>N707</x:t>
        </x:is>
      </x:c>
      <x:c r="C46" s="46" t="inlineStr">
        <x:is>
          <x:t>Bogucki, Michal</x:t>
        </x:is>
      </x:c>
      <x:c r="D46" s="45" t="n">
        <x:v>0</x:v>
      </x:c>
      <x:c r="E46" s="19" t="n">
        <x:v>491.92</x:v>
      </x:c>
      <x:c r="F46" s="19" t="n">
        <x:f>MAX(D46-E46, 0)</x:f>
        <x:v>1</x:v>
      </x:c>
      <x:c r="G46" s="47" t="n">
        <x:f>IF(D46=0,0,ABS(E46/D46))</x:f>
        <x:v>0.5</x:v>
      </x:c>
      <x:c r="H46" s="52"/>
      <x:c r="I46" s="50"/>
      <x:c r="J46" s="50"/>
      <x:c r="K46" s="51"/>
      <x:c r="L46" s="19" t="n">
        <x:v>0</x:v>
      </x:c>
      <x:c r="M46" s="50"/>
      <x:c r="N46" s="50"/>
      <x:c r="O46" s="70"/>
    </x:row>
    <x:row r="47" spans="1:19" ht="13.5" outlineLevel="1" thickBot="1" x14ac:dyDescent="0.25">
      <x:c r="B47" s="63" t="inlineStr">
        <x:v>49</x:v>
        <x:is>
          <x:t>Total N707</x:t>
        </x:is>
      </x:c>
      <x:c r="C47" s="64"/>
      <x:c r="D47" s="63" t="n">
        <x:v>0</x:v>
      </x:c>
      <x:c r="E47" s="65" t="n">
        <x:v>491.92</x:v>
      </x:c>
      <x:c r="F47" s="65" t="n">
        <x:f>MAX(D47-E47, 0)</x:f>
        <x:v>0</x:v>
      </x:c>
      <x:c r="G47" s="66" t="n">
        <x:f>IF(D47=0,0,ABS(E47/D47))</x:f>
        <x:v>4</x:v>
      </x:c>
      <x:c r="H47" s="63" t="n">
        <x:v>39067.392</x:v>
      </x:c>
      <x:c r="I47" s="65" t="n">
        <x:v>1475.76</x:v>
      </x:c>
      <x:c r="J47" s="67" t="n">
        <x:f>IF(H47=0,"No plan at start",I47/H47)</x:f>
        <x:v>0.5</x:v>
      </x:c>
      <x:c r="K47" s="65" t="n">
        <x:f>MAX(H47-I47, 0)</x:f>
        <x:v>1</x:v>
      </x:c>
      <x:c r="L47" s="65" t="n">
        <x:v>0</x:v>
      </x:c>
      <x:c r="M47" s="65" t="n">
        <x:f>I47+L47</x:f>
        <x:v>6</x:v>
      </x:c>
      <x:c r="N47" s="65" t="n">
        <x:f>M47-H47</x:f>
        <x:v>4</x:v>
      </x:c>
      <x:c r="O47" s="66" t="n">
        <x:f>IF(H47=0,"No plan at start",M47/H47)</x:f>
        <x:v>3</x:v>
      </x:c>
    </x:row>
    <x:row r="48" x14ac:dyDescent="0.2"/>
  </x:sheetData>
  <x:mergeCells count="9">
    <x:mergeCell ref="B2:C2"/>
    <x:mergeCell ref="F2:G2"/>
    <x:mergeCell ref="F4:G4"/>
    <x:mergeCell ref="F5:O7"/>
    <x:mergeCell ref="F8:M9"/>
    <x:mergeCell ref="D14:G14"/>
    <x:mergeCell ref="H14:O14"/>
    <x:mergeCell ref="D33:G33"/>
    <x:mergeCell ref="H33:O33"/>
  </x:mergeCells>
  <x:conditionalFormatting sqref="K18 N18 K20 N20 K22 N22 K24 N24 K26 N26 K28 N28 F17:F28 K37 N37 K39 N39 K41 N41 K43 N43 K45 N45 K47 N47 F36:F47">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
  </op:property>
</op:Properties>
</file>