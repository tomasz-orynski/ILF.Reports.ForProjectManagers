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r="http://schemas.openxmlformats.org/officeDocument/2006/relationships" xmlns:x="http://schemas.openxmlformats.org/spreadsheetml/2006/main">
  <x:fileVersion appName="xl" lastEdited="5" lowestEdited="5" rupBuild="9303" codeName="{8C4F1C90-05EB-6A55-5F09-09C24B55AC0B}"/>
  <x:workbookPr codeName="workbookTemplate" defaultThemeVersion="124226"/>
  <x:bookViews>
    <x:workbookView xWindow="3046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<sst xmlns="http://schemas.openxmlformats.org/spreadsheetml/2006/main" count="79" uniqueCount="50">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</sst>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4" formatCode="_-* #,##0.00\ &quot;€&quot;_-;\-* #,##0.00\ &quot;€&quot;_-;_-* &quot;-&quot;??\ &quot;€&quot;_-;_-@_-"/>
    <numFmt numFmtId="164" formatCode="#,##0\ &quot;€&quot;"/>
    <numFmt numFmtId="165" formatCode="0.0%"/>
    <numFmt numFmtId="166"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4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4"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6" fontId="4" fillId="0" borderId="7" xfId="0" applyNumberFormat="1" applyFont="1" applyBorder="1" applyAlignment="1" applyProtection="1">
      <alignment horizontal="center" vertical="center"/>
      <protection locked="0"/>
    </xf>
    <xf numFmtId="166"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5"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5" fontId="23" fillId="5" borderId="18" xfId="0" applyNumberFormat="1" applyFont="1" applyFill="1" applyBorder="1" applyAlignment="1" applyProtection="1">
      <alignment horizontal="center" vertical="center"/>
      <protection locked="0"/>
    </xf>
    <xf numFmtId="165"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5" fontId="23" fillId="5" borderId="22" xfId="0" applyNumberFormat="1" applyFont="1" applyFill="1" applyBorder="1" applyAlignment="1" applyProtection="1">
      <alignment horizontal="center" vertical="center"/>
      <protection locked="0"/>
    </xf>
    <xf numFmtId="165"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42887</x:v>
      </x:c>
      <x:c r="I2" s="21" t="s">
        <x:v>11</x:v>
      </x:c>
      <x:c r="J2" s="33" t="n">
        <x:v>42901</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Technology</x:t>
        </x:is>
      </x:c>
      <x:c r="D4" s="27"/>
      <x:c r="E4" s="6"/>
      <x:c r="F4" s="84" t="s">
        <x:v>4</x:v>
      </x:c>
      <x:c r="G4" s="85"/>
      <x:c r="N4" s="6"/>
    </x:row>
    <x:row r="5" spans="1:16" s="7" customFormat="1" ht="33.75" customHeight="1" thickBot="1" x14ac:dyDescent="0.25">
      <x:c r="A5" s="5"/>
      <x:c r="B5" s="9" t="s">
        <x:v>0</x:v>
      </x:c>
      <x:c r="C5" s="10" t="inlineStr">
        <x:v>29</x:v>
        <x:is>
          <x:t>Mechanical &amp; Process</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Mechanical</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Piotr Stanislawek</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Robert Kowalczyk</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E872</x:t>
        </x:is>
      </x:c>
      <x:c r="C17" s="46" t="inlineStr">
        <x:is>
          <x:t>Reszka, Bartlomiej</x:t>
        </x:is>
      </x:c>
      <x:c r="D17" s="45" t="n">
        <x:v>73.92</x:v>
      </x:c>
      <x:c r="E17" s="19" t="n">
        <x:v>0</x:v>
      </x:c>
      <x:c r="F17" s="19" t="n">
        <x:f>MAX(D17-E17, 0)</x:f>
        <x:v>1</x:v>
      </x:c>
      <x:c r="G17" s="47" t="n">
        <x:f>IF(D17=0,0,ABS(E17/D17))</x:f>
        <x:v>0.5</x:v>
      </x:c>
      <x:c r="H17" s="52"/>
      <x:c r="I17" s="50"/>
      <x:c r="J17" s="50"/>
      <x:c r="K17" s="51"/>
      <x:c r="L17" s="19" t="n">
        <x:v>240.80</x:v>
      </x:c>
      <x:c r="M17" s="56"/>
      <x:c r="N17" s="50"/>
      <x:c r="O17" s="70"/>
      <x:c r="P17" s="29"/>
      <x:c r="Q17" s="30"/>
      <x:c r="R17" s="31"/>
      <x:c r="S17" s="31"/>
    </x:row>
    <x:row r="18" spans="1:19" s="7" customFormat="1" hidden="1" outlineLevel="2" collapsed="1" x14ac:dyDescent="0.2">
      <x:c r="A18" s="5"/>
      <x:c r="B18" s="45" t="inlineStr">
        <x:is>
          <x:t>E872</x:t>
        </x:is>
      </x:c>
      <x:c r="C18" s="46" t="inlineStr">
        <x:is>
          <x:t>Stanislawek, Piotr</x:t>
        </x:is>
      </x:c>
      <x:c r="D18" s="45" t="n">
        <x:v>80.63</x:v>
      </x:c>
      <x:c r="E18" s="19" t="n">
        <x:v>19</x:v>
      </x:c>
      <x:c r="F18" s="19" t="n">
        <x:f>MAX(D18-E18, 0)</x:f>
        <x:v>1</x:v>
      </x:c>
      <x:c r="G18" s="47" t="n">
        <x:f>IF(D18=0,0,ABS(E18/D18))</x:f>
        <x:v>0.5</x:v>
      </x:c>
      <x:c r="H18" s="72"/>
      <x:c r="I18" s="73"/>
      <x:c r="J18" s="73"/>
      <x:c r="K18" s="74"/>
      <x:c r="L18" s="19" t="n">
        <x:v>1053.12</x:v>
      </x:c>
      <x:c r="M18" s="75"/>
      <x:c r="N18" s="73"/>
      <x:c r="O18" s="76"/>
      <x:c r="P18" s="29"/>
      <x:c r="Q18" s="30"/>
      <x:c r="R18" s="31"/>
      <x:c r="S18" s="31"/>
    </x:row>
    <x:row r="19" spans="1:19" s="7" customFormat="1" hidden="1" outlineLevel="2" collapsed="1" x14ac:dyDescent="0.2">
      <x:c r="A19" s="5"/>
      <x:c r="B19" s="45" t="inlineStr">
        <x:is>
          <x:t>E872</x:t>
        </x:is>
      </x:c>
      <x:c r="C19" s="46" t="inlineStr">
        <x:is>
          <x:t>Trakul, Tomasz</x:t>
        </x:is>
      </x:c>
      <x:c r="D19" s="45" t="n">
        <x:v>84</x:v>
      </x:c>
      <x:c r="E19" s="19" t="n">
        <x:v>24</x:v>
      </x:c>
      <x:c r="F19" s="19" t="n">
        <x:f>MAX(D19-E19, 0)</x:f>
        <x:v>1</x:v>
      </x:c>
      <x:c r="G19" s="47" t="n">
        <x:f>IF(D19=0,0,ABS(E19/D19))</x:f>
        <x:v>0.5</x:v>
      </x:c>
      <x:c r="H19" s="72"/>
      <x:c r="I19" s="73"/>
      <x:c r="J19" s="73"/>
      <x:c r="K19" s="74"/>
      <x:c r="L19" s="19" t="n">
        <x:v>949.21</x:v>
      </x:c>
      <x:c r="M19" s="57"/>
      <x:c r="N19" s="54"/>
      <x:c r="O19" s="71"/>
      <x:c r="P19" s="29"/>
      <x:c r="Q19" s="30"/>
      <x:c r="R19" s="31"/>
      <x:c r="S19" s="31"/>
    </x:row>
    <x:row r="20" spans="1:19" s="7" customFormat="1" outlineLevel="1" x14ac:dyDescent="0.2">
      <x:c r="A20" s="5"/>
      <x:c r="B20" s="58" t="inlineStr">
        <x:v>49</x:v>
        <x:is>
          <x:t>Total E872</x:t>
        </x:is>
      </x:c>
      <x:c r="C20" s="59"/>
      <x:c r="D20" s="58" t="n">
        <x:v>238.55</x:v>
      </x:c>
      <x:c r="E20" s="60" t="n">
        <x:v>43</x:v>
      </x:c>
      <x:c r="F20" s="60" t="n">
        <x:f>MAX(D20-E20, 0)</x:f>
        <x:v>1</x:v>
      </x:c>
      <x:c r="G20" s="61" t="n">
        <x:f>IF(D20=0,0,ABS(E20/D20))</x:f>
        <x:v>0.5</x:v>
      </x:c>
      <x:c r="H20" s="58" t="n">
        <x:v>0</x:v>
      </x:c>
      <x:c r="I20" s="60" t="n">
        <x:v>5505.00</x:v>
      </x:c>
      <x:c r="J20" s="62" t="n">
        <x:f>IF(H20=0,"No plan at start",I20/H20)</x:f>
        <x:v>2</x:v>
      </x:c>
      <x:c r="K20" s="60" t="n">
        <x:f>MAX(H20-I20, 0)</x:f>
        <x:v>0</x:v>
      </x:c>
      <x:c r="L20" s="60" t="n">
        <x:v>2243.13</x:v>
      </x:c>
      <x:c r="M20" s="60" t="n">
        <x:f>I20+L20</x:f>
        <x:v>3</x:v>
      </x:c>
      <x:c r="N20" s="60" t="n">
        <x:f>M20-H20</x:f>
        <x:v>2</x:v>
      </x:c>
      <x:c r="O20" s="61" t="n">
        <x:f>IF(H20=0,"No plan at start",M20/H20)</x:f>
        <x:v>3</x:v>
      </x:c>
      <x:c r="P20" s="29"/>
      <x:c r="Q20" s="30"/>
      <x:c r="R20" s="31"/>
      <x:c r="S20" s="31"/>
    </x:row>
    <x:row r="21" spans="1:19" s="7" customFormat="1" hidden="1" outlineLevel="2" collapsed="1" x14ac:dyDescent="0.2">
      <x:c r="A21" s="5"/>
      <x:c r="B21" s="45" t="inlineStr">
        <x:is>
          <x:t>F808</x:t>
        </x:is>
      </x:c>
      <x:c r="C21" s="46" t="inlineStr">
        <x:is>
          <x:t>Gniwek, Robert</x:t>
        </x:is>
      </x:c>
      <x:c r="D21" s="45" t="n">
        <x:v>100.8</x:v>
      </x:c>
      <x:c r="E21" s="19" t="n">
        <x:v>29.0</x:v>
      </x:c>
      <x:c r="F21" s="19" t="n">
        <x:f>MAX(D21-E21, 0)</x:f>
        <x:v>1</x:v>
      </x:c>
      <x:c r="G21" s="47" t="n">
        <x:f>IF(D21=0,0,ABS(E21/D21))</x:f>
        <x:v>0.5</x:v>
      </x:c>
      <x:c r="H21" s="52"/>
      <x:c r="I21" s="50"/>
      <x:c r="J21" s="50"/>
      <x:c r="K21" s="51"/>
      <x:c r="L21" s="19" t="n">
        <x:v>542.4</x:v>
      </x:c>
      <x:c r="M21" s="56"/>
      <x:c r="N21" s="50"/>
      <x:c r="O21" s="70"/>
      <x:c r="P21" s="29"/>
      <x:c r="Q21" s="30"/>
      <x:c r="R21" s="31"/>
      <x:c r="S21" s="31"/>
    </x:row>
    <x:row r="22" spans="1:19" s="7" customFormat="1" hidden="1" outlineLevel="2" collapsed="1" x14ac:dyDescent="0.2">
      <x:c r="A22" s="5"/>
      <x:c r="B22" s="45" t="inlineStr">
        <x:is>
          <x:t>F808</x:t>
        </x:is>
      </x:c>
      <x:c r="C22" s="46" t="inlineStr">
        <x:is>
          <x:t>Krzysztofowicz, Jaroslaw</x:t>
        </x:is>
      </x:c>
      <x:c r="D22" s="45" t="n">
        <x:v>168</x:v>
      </x:c>
      <x:c r="E22" s="19" t="n">
        <x:v>81.5</x:v>
      </x:c>
      <x:c r="F22" s="19" t="n">
        <x:f>MAX(D22-E22, 0)</x:f>
        <x:v>1</x:v>
      </x:c>
      <x:c r="G22" s="47" t="n">
        <x:f>IF(D22=0,0,ABS(E22/D22))</x:f>
        <x:v>0.5</x:v>
      </x:c>
      <x:c r="H22" s="72"/>
      <x:c r="I22" s="73"/>
      <x:c r="J22" s="73"/>
      <x:c r="K22" s="74"/>
      <x:c r="L22" s="19" t="n">
        <x:v>752.8</x:v>
      </x:c>
      <x:c r="M22" s="57"/>
      <x:c r="N22" s="54"/>
      <x:c r="O22" s="71"/>
      <x:c r="P22" s="29"/>
      <x:c r="Q22" s="30"/>
      <x:c r="R22" s="31"/>
      <x:c r="S22" s="31"/>
    </x:row>
    <x:row r="23" spans="1:19" s="7" customFormat="1" outlineLevel="1" x14ac:dyDescent="0.2">
      <x:c r="A23" s="5"/>
      <x:c r="B23" s="58" t="inlineStr">
        <x:v>49</x:v>
        <x:is>
          <x:t>Total F808</x:t>
        </x:is>
      </x:c>
      <x:c r="C23" s="59"/>
      <x:c r="D23" s="58" t="n">
        <x:v>268.8</x:v>
      </x:c>
      <x:c r="E23" s="60" t="n">
        <x:v>110.5</x:v>
      </x:c>
      <x:c r="F23" s="60" t="n">
        <x:f>MAX(D23-E23, 0)</x:f>
        <x:v>1</x:v>
      </x:c>
      <x:c r="G23" s="61" t="n">
        <x:f>IF(D23=0,0,ABS(E23/D23))</x:f>
        <x:v>0.5</x:v>
      </x:c>
      <x:c r="H23" s="58" t="n">
        <x:v>0</x:v>
      </x:c>
      <x:c r="I23" s="60" t="n">
        <x:v>7499.25</x:v>
      </x:c>
      <x:c r="J23" s="62" t="n">
        <x:f>IF(H23=0,"No plan at start",I23/H23)</x:f>
        <x:v>2</x:v>
      </x:c>
      <x:c r="K23" s="60" t="n">
        <x:f>MAX(H23-I23, 0)</x:f>
        <x:v>0</x:v>
      </x:c>
      <x:c r="L23" s="60" t="n">
        <x:v>1295.2</x:v>
      </x:c>
      <x:c r="M23" s="60" t="n">
        <x:f>I23+L23</x:f>
        <x:v>3</x:v>
      </x:c>
      <x:c r="N23" s="60" t="n">
        <x:f>M23-H23</x:f>
        <x:v>2</x:v>
      </x:c>
      <x:c r="O23" s="61" t="n">
        <x:f>IF(H23=0,"No plan at start",M23/H23)</x:f>
        <x:v>3</x:v>
      </x:c>
      <x:c r="P23" s="29"/>
      <x:c r="Q23" s="30"/>
      <x:c r="R23" s="31"/>
      <x:c r="S23" s="31"/>
    </x:row>
    <x:row r="24" spans="1:19" s="7" customFormat="1" hidden="1" outlineLevel="2" collapsed="1" x14ac:dyDescent="0.2">
      <x:c r="A24" s="5"/>
      <x:c r="B24" s="45" t="inlineStr">
        <x:is>
          <x:t>H808</x:t>
        </x:is>
      </x:c>
      <x:c r="C24" s="46" t="inlineStr">
        <x:is>
          <x:t>Gniwek, Robert</x:t>
        </x:is>
      </x:c>
      <x:c r="D24" s="45" t="n">
        <x:v>84</x:v>
      </x:c>
      <x:c r="E24" s="19" t="n">
        <x:v>52.5</x:v>
      </x:c>
      <x:c r="F24" s="19" t="n">
        <x:f>MAX(D24-E24, 0)</x:f>
        <x:v>1</x:v>
      </x:c>
      <x:c r="G24" s="47" t="n">
        <x:f>IF(D24=0,0,ABS(E24/D24))</x:f>
        <x:v>0.5</x:v>
      </x:c>
      <x:c r="H24" s="52"/>
      <x:c r="I24" s="50"/>
      <x:c r="J24" s="50"/>
      <x:c r="K24" s="51"/>
      <x:c r="L24" s="19" t="n">
        <x:v>0</x:v>
      </x:c>
      <x:c r="M24" s="56"/>
      <x:c r="N24" s="50"/>
      <x:c r="O24" s="70"/>
      <x:c r="P24" s="29"/>
      <x:c r="Q24" s="30"/>
      <x:c r="R24" s="31"/>
      <x:c r="S24" s="31"/>
    </x:row>
    <x:row r="25" spans="1:19" s="7" customFormat="1" hidden="1" outlineLevel="2" collapsed="1" x14ac:dyDescent="0.2">
      <x:c r="A25" s="5"/>
      <x:c r="B25" s="45" t="inlineStr">
        <x:is>
          <x:t>H808</x:t>
        </x:is>
      </x:c>
      <x:c r="C25" s="46" t="inlineStr">
        <x:is>
          <x:t>Reszka, Bartlomiej</x:t>
        </x:is>
      </x:c>
      <x:c r="D25" s="45" t="n">
        <x:v>0</x:v>
      </x:c>
      <x:c r="E25" s="19" t="n">
        <x:v>5</x:v>
      </x:c>
      <x:c r="F25" s="19" t="n">
        <x:f>MAX(D25-E25, 0)</x:f>
        <x:v>1</x:v>
      </x:c>
      <x:c r="G25" s="47" t="n">
        <x:f>IF(D25=0,0,ABS(E25/D25))</x:f>
        <x:v>0.5</x:v>
      </x:c>
      <x:c r="H25" s="72"/>
      <x:c r="I25" s="73"/>
      <x:c r="J25" s="73"/>
      <x:c r="K25" s="74"/>
      <x:c r="L25" s="19" t="n">
        <x:v>0</x:v>
      </x:c>
      <x:c r="M25" s="57"/>
      <x:c r="N25" s="54"/>
      <x:c r="O25" s="71"/>
      <x:c r="P25" s="29"/>
      <x:c r="Q25" s="30"/>
      <x:c r="R25" s="31"/>
      <x:c r="S25" s="31"/>
    </x:row>
    <x:row r="26" spans="1:19" s="7" customFormat="1" outlineLevel="1" x14ac:dyDescent="0.2">
      <x:c r="A26" s="5"/>
      <x:c r="B26" s="58" t="inlineStr">
        <x:v>49</x:v>
        <x:is>
          <x:t>Total H808</x:t>
        </x:is>
      </x:c>
      <x:c r="C26" s="59"/>
      <x:c r="D26" s="58" t="n">
        <x:v>84</x:v>
      </x:c>
      <x:c r="E26" s="60" t="n">
        <x:v>57.5</x:v>
      </x:c>
      <x:c r="F26" s="60" t="n">
        <x:f>MAX(D26-E26, 0)</x:f>
        <x:v>1</x:v>
      </x:c>
      <x:c r="G26" s="61" t="n">
        <x:f>IF(D26=0,0,ABS(E26/D26))</x:f>
        <x:v>0.5</x:v>
      </x:c>
      <x:c r="H26" s="58" t="n">
        <x:v>547.2</x:v>
      </x:c>
      <x:c r="I26" s="60" t="n">
        <x:v>88.5</x:v>
      </x:c>
      <x:c r="J26" s="62" t="n">
        <x:f>IF(H26=0,"No plan at start",I26/H26)</x:f>
        <x:v>2</x:v>
      </x:c>
      <x:c r="K26" s="60" t="n">
        <x:f>MAX(H26-I26, 0)</x:f>
        <x:v>0</x:v>
      </x:c>
      <x:c r="L26" s="60" t="n">
        <x:v>0</x:v>
      </x:c>
      <x:c r="M26" s="60" t="n">
        <x:f>I26+L26</x:f>
        <x:v>3</x:v>
      </x:c>
      <x:c r="N26" s="60" t="n">
        <x:f>M26-H26</x:f>
        <x:v>2</x:v>
      </x:c>
      <x:c r="O26" s="61" t="n">
        <x:f>IF(H26=0,"No plan at start",M26/H26)</x:f>
        <x:v>3</x:v>
      </x:c>
      <x:c r="P26" s="29"/>
      <x:c r="Q26" s="30"/>
      <x:c r="R26" s="31"/>
      <x:c r="S26" s="31"/>
    </x:row>
    <x:row r="27" spans="1:19" s="7" customFormat="1" hidden="1" outlineLevel="2" collapsed="1" x14ac:dyDescent="0.2">
      <x:c r="A27" s="5"/>
      <x:c r="B27" s="45" t="inlineStr">
        <x:is>
          <x:t>J500</x:t>
        </x:is>
      </x:c>
      <x:c r="C27" s="46" t="inlineStr">
        <x:is>
          <x:t>Gniwek, Robert</x:t>
        </x:is>
      </x:c>
      <x:c r="D27" s="45" t="n">
        <x:v>0</x:v>
      </x:c>
      <x:c r="E27" s="19" t="n">
        <x:v>0</x:v>
      </x:c>
      <x:c r="F27" s="19" t="n">
        <x:f>MAX(D27-E27, 0)</x:f>
        <x:v>1</x:v>
      </x:c>
      <x:c r="G27" s="47" t="n">
        <x:f>IF(D27=0,0,ABS(E27/D27))</x:f>
        <x:v>0.5</x:v>
      </x:c>
      <x:c r="H27" s="52"/>
      <x:c r="I27" s="50"/>
      <x:c r="J27" s="50"/>
      <x:c r="K27" s="51"/>
      <x:c r="L27" s="19" t="n">
        <x:v>84.0</x:v>
      </x:c>
      <x:c r="M27" s="56"/>
      <x:c r="N27" s="50"/>
      <x:c r="O27" s="70"/>
      <x:c r="P27" s="29"/>
      <x:c r="Q27" s="30"/>
      <x:c r="R27" s="31"/>
      <x:c r="S27" s="31"/>
    </x:row>
    <x:row r="28" spans="1:19" s="7" customFormat="1" outlineLevel="1" x14ac:dyDescent="0.2">
      <x:c r="A28" s="5"/>
      <x:c r="B28" s="58" t="inlineStr">
        <x:v>49</x:v>
        <x:is>
          <x:t>Total J500</x:t>
        </x:is>
      </x:c>
      <x:c r="C28" s="59"/>
      <x:c r="D28" s="58" t="n">
        <x:v>0</x:v>
      </x:c>
      <x:c r="E28" s="60" t="n">
        <x:v>0</x:v>
      </x:c>
      <x:c r="F28" s="60" t="n">
        <x:f>MAX(D28-E28, 0)</x:f>
        <x:v>1</x:v>
      </x:c>
      <x:c r="G28" s="61" t="n">
        <x:f>IF(D28=0,0,ABS(E28/D28))</x:f>
        <x:v>0.5</x:v>
      </x:c>
      <x:c r="H28" s="58" t="n">
        <x:v>105.6</x:v>
      </x:c>
      <x:c r="I28" s="60" t="n">
        <x:v>32.0</x:v>
      </x:c>
      <x:c r="J28" s="62" t="n">
        <x:f>IF(H28=0,"No plan at start",I28/H28)</x:f>
        <x:v>2</x:v>
      </x:c>
      <x:c r="K28" s="60" t="n">
        <x:f>MAX(H28-I28, 0)</x:f>
        <x:v>0</x:v>
      </x:c>
      <x:c r="L28" s="60" t="n">
        <x:v>84.0</x:v>
      </x:c>
      <x:c r="M28" s="60" t="n">
        <x:f>I28+L28</x:f>
        <x:v>3</x:v>
      </x:c>
      <x:c r="N28" s="60" t="n">
        <x:f>M28-H28</x:f>
        <x:v>2</x:v>
      </x:c>
      <x:c r="O28" s="61" t="n">
        <x:f>IF(H28=0,"No plan at start",M28/H28)</x:f>
        <x:v>3</x:v>
      </x:c>
      <x:c r="P28" s="29"/>
      <x:c r="Q28" s="30"/>
      <x:c r="R28" s="31"/>
      <x:c r="S28" s="31"/>
    </x:row>
    <x:row r="29" spans="1:19" s="7" customFormat="1" hidden="1" outlineLevel="2" collapsed="1" x14ac:dyDescent="0.2">
      <x:c r="A29" s="5"/>
      <x:c r="B29" s="45" t="inlineStr">
        <x:is>
          <x:t>K358</x:t>
        </x:is>
      </x:c>
      <x:c r="C29" s="46" t="inlineStr">
        <x:is>
          <x:t>Gniwek, Robert</x:t>
        </x:is>
      </x:c>
      <x:c r="D29" s="45" t="n">
        <x:v>0</x:v>
      </x:c>
      <x:c r="E29" s="19" t="n">
        <x:v>9.5</x:v>
      </x:c>
      <x:c r="F29" s="19" t="n">
        <x:f>MAX(D29-E29, 0)</x:f>
        <x:v>1</x:v>
      </x:c>
      <x:c r="G29" s="47" t="n">
        <x:f>IF(D29=0,0,ABS(E29/D29))</x:f>
        <x:v>0.5</x:v>
      </x:c>
      <x:c r="H29" s="52"/>
      <x:c r="I29" s="50"/>
      <x:c r="J29" s="50"/>
      <x:c r="K29" s="51"/>
      <x:c r="L29" s="19" t="n">
        <x:v>0</x:v>
      </x:c>
      <x:c r="M29" s="56"/>
      <x:c r="N29" s="50"/>
      <x:c r="O29" s="70"/>
      <x:c r="P29" s="29"/>
      <x:c r="Q29" s="30"/>
      <x:c r="R29" s="31"/>
      <x:c r="S29" s="31"/>
    </x:row>
    <x:row r="30" spans="1:19" s="7" customFormat="1" hidden="1" outlineLevel="2" collapsed="1" x14ac:dyDescent="0.2">
      <x:c r="A30" s="5"/>
      <x:c r="B30" s="45" t="inlineStr">
        <x:is>
          <x:t>K358</x:t>
        </x:is>
      </x:c>
      <x:c r="C30" s="46" t="inlineStr">
        <x:is>
          <x:t>Reszka, Bartlomiej</x:t>
        </x:is>
      </x:c>
      <x:c r="D30" s="45" t="n">
        <x:v>0</x:v>
      </x:c>
      <x:c r="E30" s="19" t="n">
        <x:v>19.5</x:v>
      </x:c>
      <x:c r="F30" s="19" t="n">
        <x:f>MAX(D30-E30, 0)</x:f>
        <x:v>1</x:v>
      </x:c>
      <x:c r="G30" s="47" t="n">
        <x:f>IF(D30=0,0,ABS(E30/D30))</x:f>
        <x:v>0.5</x:v>
      </x:c>
      <x:c r="H30" s="72"/>
      <x:c r="I30" s="73"/>
      <x:c r="J30" s="73"/>
      <x:c r="K30" s="74"/>
      <x:c r="L30" s="19" t="n">
        <x:v>0</x:v>
      </x:c>
      <x:c r="M30" s="75"/>
      <x:c r="N30" s="73"/>
      <x:c r="O30" s="76"/>
      <x:c r="P30" s="29"/>
      <x:c r="Q30" s="30"/>
      <x:c r="R30" s="31"/>
      <x:c r="S30" s="31"/>
    </x:row>
    <x:row r="31" spans="1:19" s="7" customFormat="1" hidden="1" outlineLevel="2" collapsed="1" x14ac:dyDescent="0.2">
      <x:c r="A31" s="5"/>
      <x:c r="B31" s="45" t="inlineStr">
        <x:is>
          <x:t>K358</x:t>
        </x:is>
      </x:c>
      <x:c r="C31" s="46" t="inlineStr">
        <x:is>
          <x:t>Trakul, Tomasz</x:t>
        </x:is>
      </x:c>
      <x:c r="D31" s="45" t="n">
        <x:v>0</x:v>
      </x:c>
      <x:c r="E31" s="19" t="n">
        <x:v>32</x:v>
      </x:c>
      <x:c r="F31" s="19" t="n">
        <x:f>MAX(D31-E31, 0)</x:f>
        <x:v>1</x:v>
      </x:c>
      <x:c r="G31" s="47" t="n">
        <x:f>IF(D31=0,0,ABS(E31/D31))</x:f>
        <x:v>0.5</x:v>
      </x:c>
      <x:c r="H31" s="72"/>
      <x:c r="I31" s="73"/>
      <x:c r="J31" s="73"/>
      <x:c r="K31" s="74"/>
      <x:c r="L31" s="19" t="n">
        <x:v>0</x:v>
      </x:c>
      <x:c r="M31" s="57"/>
      <x:c r="N31" s="54"/>
      <x:c r="O31" s="71"/>
      <x:c r="P31" s="29"/>
      <x:c r="Q31" s="30"/>
      <x:c r="R31" s="31"/>
      <x:c r="S31" s="31"/>
    </x:row>
    <x:row r="32" spans="1:19" s="7" customFormat="1" outlineLevel="1" x14ac:dyDescent="0.2">
      <x:c r="A32" s="5"/>
      <x:c r="B32" s="58" t="inlineStr">
        <x:v>49</x:v>
        <x:is>
          <x:t>Total K358</x:t>
        </x:is>
      </x:c>
      <x:c r="C32" s="59"/>
      <x:c r="D32" s="58" t="n">
        <x:v>0</x:v>
      </x:c>
      <x:c r="E32" s="60" t="n">
        <x:v>61.0</x:v>
      </x:c>
      <x:c r="F32" s="60" t="n">
        <x:f>MAX(D32-E32, 0)</x:f>
        <x:v>1</x:v>
      </x:c>
      <x:c r="G32" s="61" t="n">
        <x:f>IF(D32=0,0,ABS(E32/D32))</x:f>
        <x:v>0.5</x:v>
      </x:c>
      <x:c r="H32" s="58" t="n">
        <x:v>0</x:v>
      </x:c>
      <x:c r="I32" s="60" t="n">
        <x:v>231.0</x:v>
      </x:c>
      <x:c r="J32" s="62" t="n">
        <x:f>IF(H32=0,"No plan at start",I32/H32)</x:f>
        <x:v>2</x:v>
      </x:c>
      <x:c r="K32" s="60" t="n">
        <x:f>MAX(H32-I32, 0)</x:f>
        <x:v>0</x:v>
      </x:c>
      <x:c r="L32" s="60" t="n">
        <x:v>0</x:v>
      </x:c>
      <x:c r="M32" s="60" t="n">
        <x:f>I32+L32</x:f>
        <x:v>3</x:v>
      </x:c>
      <x:c r="N32" s="60" t="n">
        <x:f>M32-H32</x:f>
        <x:v>2</x:v>
      </x:c>
      <x:c r="O32" s="61" t="n">
        <x:f>IF(H32=0,"No plan at start",M32/H32)</x:f>
        <x:v>3</x:v>
      </x:c>
      <x:c r="P32" s="29"/>
      <x:c r="Q32" s="30"/>
      <x:c r="R32" s="31"/>
      <x:c r="S32" s="31"/>
    </x:row>
    <x:row r="33" spans="1:19" s="7" customFormat="1" hidden="1" outlineLevel="2" collapsed="1" x14ac:dyDescent="0.2">
      <x:c r="A33" s="5"/>
      <x:c r="B33" s="45" t="inlineStr">
        <x:is>
          <x:t>K740</x:t>
        </x:is>
      </x:c>
      <x:c r="C33" s="46" t="inlineStr">
        <x:is>
          <x:t>Reszka, Bartlomiej</x:t>
        </x:is>
      </x:c>
      <x:c r="D33" s="45" t="n">
        <x:v>0</x:v>
      </x:c>
      <x:c r="E33" s="19" t="n">
        <x:v>0</x:v>
      </x:c>
      <x:c r="F33" s="19" t="n">
        <x:f>MAX(D33-E33, 0)</x:f>
        <x:v>1</x:v>
      </x:c>
      <x:c r="G33" s="47" t="n">
        <x:f>IF(D33=0,0,ABS(E33/D33))</x:f>
        <x:v>0.5</x:v>
      </x:c>
      <x:c r="H33" s="52"/>
      <x:c r="I33" s="50"/>
      <x:c r="J33" s="50"/>
      <x:c r="K33" s="51"/>
      <x:c r="L33" s="19" t="n">
        <x:v>533.81</x:v>
      </x:c>
      <x:c r="M33" s="56"/>
      <x:c r="N33" s="50"/>
      <x:c r="O33" s="70"/>
      <x:c r="P33" s="29"/>
      <x:c r="Q33" s="30"/>
      <x:c r="R33" s="31"/>
      <x:c r="S33" s="31"/>
    </x:row>
    <x:row r="34" spans="1:19" s="7" customFormat="1" outlineLevel="1" x14ac:dyDescent="0.2">
      <x:c r="A34" s="5"/>
      <x:c r="B34" s="58" t="inlineStr">
        <x:v>49</x:v>
        <x:is>
          <x:t>Total K740</x:t>
        </x:is>
      </x:c>
      <x:c r="C34" s="59"/>
      <x:c r="D34" s="58" t="n">
        <x:v>0</x:v>
      </x:c>
      <x:c r="E34" s="60" t="n">
        <x:v>0</x:v>
      </x:c>
      <x:c r="F34" s="60" t="n">
        <x:f>MAX(D34-E34, 0)</x:f>
        <x:v>1</x:v>
      </x:c>
      <x:c r="G34" s="61" t="n">
        <x:f>IF(D34=0,0,ABS(E34/D34))</x:f>
        <x:v>0.5</x:v>
      </x:c>
      <x:c r="H34" s="58" t="n">
        <x:v>0</x:v>
      </x:c>
      <x:c r="I34" s="60" t="n">
        <x:v>559.00</x:v>
      </x:c>
      <x:c r="J34" s="62" t="n">
        <x:f>IF(H34=0,"No plan at start",I34/H34)</x:f>
        <x:v>2</x:v>
      </x:c>
      <x:c r="K34" s="60" t="n">
        <x:f>MAX(H34-I34, 0)</x:f>
        <x:v>0</x:v>
      </x:c>
      <x:c r="L34" s="60" t="n">
        <x:v>533.81</x:v>
      </x:c>
      <x:c r="M34" s="60" t="n">
        <x:f>I34+L34</x:f>
        <x:v>3</x:v>
      </x:c>
      <x:c r="N34" s="60" t="n">
        <x:f>M34-H34</x:f>
        <x:v>2</x:v>
      </x:c>
      <x:c r="O34" s="61" t="n">
        <x:f>IF(H34=0,"No plan at start",M34/H34)</x:f>
        <x:v>3</x:v>
      </x:c>
      <x:c r="P34" s="29"/>
      <x:c r="Q34" s="30"/>
      <x:c r="R34" s="31"/>
      <x:c r="S34" s="31"/>
    </x:row>
    <x:row r="35" spans="1:19" s="7" customFormat="1" hidden="1" outlineLevel="2" collapsed="1" x14ac:dyDescent="0.2">
      <x:c r="A35" s="5"/>
      <x:c r="B35" s="45" t="inlineStr">
        <x:is>
          <x:t>N706</x:t>
        </x:is>
      </x:c>
      <x:c r="C35" s="46" t="inlineStr">
        <x:is>
          <x:t>Reszka, Bartlomiej</x:t>
        </x:is>
      </x:c>
      <x:c r="D35" s="45" t="n">
        <x:v>0</x:v>
      </x:c>
      <x:c r="E35" s="19" t="n">
        <x:v>10</x:v>
      </x:c>
      <x:c r="F35" s="19" t="n">
        <x:f>MAX(D35-E35, 0)</x:f>
        <x:v>1</x:v>
      </x:c>
      <x:c r="G35" s="47" t="n">
        <x:f>IF(D35=0,0,ABS(E35/D35))</x:f>
        <x:v>0.5</x:v>
      </x:c>
      <x:c r="H35" s="52"/>
      <x:c r="I35" s="50"/>
      <x:c r="J35" s="50"/>
      <x:c r="K35" s="51"/>
      <x:c r="L35" s="19" t="n">
        <x:v>0</x:v>
      </x:c>
      <x:c r="M35" s="56"/>
      <x:c r="N35" s="50"/>
      <x:c r="O35" s="70"/>
      <x:c r="P35" s="29"/>
      <x:c r="Q35" s="30"/>
      <x:c r="R35" s="31"/>
      <x:c r="S35" s="31"/>
    </x:row>
    <x:row r="36" spans="1:19" s="7" customFormat="1" hidden="1" outlineLevel="2" collapsed="1" x14ac:dyDescent="0.2">
      <x:c r="A36" s="5"/>
      <x:c r="B36" s="45" t="inlineStr">
        <x:is>
          <x:t>N706</x:t>
        </x:is>
      </x:c>
      <x:c r="C36" s="46" t="inlineStr">
        <x:is>
          <x:t>Stanislawek, Piotr</x:t>
        </x:is>
      </x:c>
      <x:c r="D36" s="45" t="n">
        <x:v>0</x:v>
      </x:c>
      <x:c r="E36" s="19" t="n">
        <x:v>23</x:v>
      </x:c>
      <x:c r="F36" s="19" t="n">
        <x:f>MAX(D36-E36, 0)</x:f>
        <x:v>1</x:v>
      </x:c>
      <x:c r="G36" s="47" t="n">
        <x:f>IF(D36=0,0,ABS(E36/D36))</x:f>
        <x:v>0.5</x:v>
      </x:c>
      <x:c r="H36" s="72"/>
      <x:c r="I36" s="73"/>
      <x:c r="J36" s="73"/>
      <x:c r="K36" s="74"/>
      <x:c r="L36" s="19" t="n">
        <x:v>0</x:v>
      </x:c>
      <x:c r="M36" s="57"/>
      <x:c r="N36" s="54"/>
      <x:c r="O36" s="71"/>
      <x:c r="P36" s="29"/>
      <x:c r="Q36" s="30"/>
      <x:c r="R36" s="31"/>
      <x:c r="S36" s="31"/>
    </x:row>
    <x:row r="37" spans="1:19" s="7" customFormat="1" outlineLevel="1" x14ac:dyDescent="0.2">
      <x:c r="A37" s="5"/>
      <x:c r="B37" s="58" t="inlineStr">
        <x:v>49</x:v>
        <x:is>
          <x:t>Total N706</x:t>
        </x:is>
      </x:c>
      <x:c r="C37" s="59"/>
      <x:c r="D37" s="58" t="n">
        <x:v>0</x:v>
      </x:c>
      <x:c r="E37" s="60" t="n">
        <x:v>33</x:v>
      </x:c>
      <x:c r="F37" s="60" t="n">
        <x:f>MAX(D37-E37, 0)</x:f>
        <x:v>1</x:v>
      </x:c>
      <x:c r="G37" s="61" t="n">
        <x:f>IF(D37=0,0,ABS(E37/D37))</x:f>
        <x:v>0.5</x:v>
      </x:c>
      <x:c r="H37" s="58" t="n">
        <x:v>0</x:v>
      </x:c>
      <x:c r="I37" s="60" t="n">
        <x:v>533.0</x:v>
      </x:c>
      <x:c r="J37" s="62" t="n">
        <x:f>IF(H37=0,"No plan at start",I37/H37)</x:f>
        <x:v>2</x:v>
      </x:c>
      <x:c r="K37" s="60" t="n">
        <x:f>MAX(H37-I37, 0)</x:f>
        <x:v>0</x:v>
      </x:c>
      <x:c r="L37" s="60" t="n">
        <x:v>0</x:v>
      </x:c>
      <x:c r="M37" s="60" t="n">
        <x:f>I37+L37</x:f>
        <x:v>3</x:v>
      </x:c>
      <x:c r="N37" s="60" t="n">
        <x:f>M37-H37</x:f>
        <x:v>2</x:v>
      </x:c>
      <x:c r="O37" s="61" t="n">
        <x:f>IF(H37=0,"No plan at start",M37/H37)</x:f>
        <x:v>3</x:v>
      </x:c>
      <x:c r="P37" s="29"/>
      <x:c r="Q37" s="30"/>
      <x:c r="R37" s="31"/>
      <x:c r="S37" s="31"/>
    </x:row>
    <x:row r="38" spans="1:19" s="7" customFormat="1" hidden="1" outlineLevel="2" collapsed="1" x14ac:dyDescent="0.2">
      <x:c r="A38" s="5"/>
      <x:c r="B38" s="45" t="inlineStr">
        <x:is>
          <x:t>N707</x:t>
        </x:is>
      </x:c>
      <x:c r="C38" s="46" t="inlineStr">
        <x:is>
          <x:t>Reszka, Bartlomiej</x:t>
        </x:is>
      </x:c>
      <x:c r="D38" s="45" t="n">
        <x:v>0</x:v>
      </x:c>
      <x:c r="E38" s="19" t="n">
        <x:v>13</x:v>
      </x:c>
      <x:c r="F38" s="19" t="n">
        <x:f>MAX(D38-E38, 0)</x:f>
        <x:v>1</x:v>
      </x:c>
      <x:c r="G38" s="47" t="n">
        <x:f>IF(D38=0,0,ABS(E38/D38))</x:f>
        <x:v>0.5</x:v>
      </x:c>
      <x:c r="H38" s="52"/>
      <x:c r="I38" s="50"/>
      <x:c r="J38" s="50"/>
      <x:c r="K38" s="51"/>
      <x:c r="L38" s="19" t="n">
        <x:v>0</x:v>
      </x:c>
      <x:c r="M38" s="56"/>
      <x:c r="N38" s="50"/>
      <x:c r="O38" s="70"/>
      <x:c r="P38" s="29"/>
      <x:c r="Q38" s="30"/>
      <x:c r="R38" s="31"/>
      <x:c r="S38" s="31"/>
    </x:row>
    <x:row r="39" spans="1:19" s="7" customFormat="1" hidden="1" outlineLevel="2" collapsed="1" x14ac:dyDescent="0.2">
      <x:c r="A39" s="5"/>
      <x:c r="B39" s="45" t="inlineStr">
        <x:is>
          <x:t>N707</x:t>
        </x:is>
      </x:c>
      <x:c r="C39" s="46" t="inlineStr">
        <x:is>
          <x:t>Stanislawek, Piotr</x:t>
        </x:is>
      </x:c>
      <x:c r="D39" s="45" t="n">
        <x:v>0</x:v>
      </x:c>
      <x:c r="E39" s="19" t="n">
        <x:v>6</x:v>
      </x:c>
      <x:c r="F39" s="19" t="n">
        <x:f>MAX(D39-E39, 0)</x:f>
        <x:v>1</x:v>
      </x:c>
      <x:c r="G39" s="47" t="n">
        <x:f>IF(D39=0,0,ABS(E39/D39))</x:f>
        <x:v>0.5</x:v>
      </x:c>
      <x:c r="H39" s="72"/>
      <x:c r="I39" s="73"/>
      <x:c r="J39" s="73"/>
      <x:c r="K39" s="74"/>
      <x:c r="L39" s="19" t="n">
        <x:v>0</x:v>
      </x:c>
      <x:c r="M39" s="57"/>
      <x:c r="N39" s="54"/>
      <x:c r="O39" s="71"/>
      <x:c r="P39" s="29"/>
      <x:c r="Q39" s="30"/>
      <x:c r="R39" s="31"/>
      <x:c r="S39" s="31"/>
    </x:row>
    <x:row r="40" spans="1:19" s="7" customFormat="1" ht="13.5" outlineLevel="1" thickBot="1" x14ac:dyDescent="0.25">
      <x:c r="A40" s="5"/>
      <x:c r="B40" s="63" t="inlineStr">
        <x:v>49</x:v>
        <x:is>
          <x:t>Total N707</x:t>
        </x:is>
      </x:c>
      <x:c r="C40" s="64"/>
      <x:c r="D40" s="63" t="n">
        <x:v>0</x:v>
      </x:c>
      <x:c r="E40" s="65" t="n">
        <x:v>19</x:v>
      </x:c>
      <x:c r="F40" s="65" t="n">
        <x:f>MAX(D40-E40, 0)</x:f>
        <x:v>0</x:v>
      </x:c>
      <x:c r="G40" s="66" t="n">
        <x:f>IF(D40=0,0,ABS(E40/D40))</x:f>
        <x:v>0</x:v>
      </x:c>
      <x:c r="H40" s="63" t="n">
        <x:v>0</x:v>
      </x:c>
      <x:c r="I40" s="65" t="n">
        <x:v>257.5</x:v>
      </x:c>
      <x:c r="J40" s="67" t="n">
        <x:f>IF(H40=0,"No plan at start",I40/H40)</x:f>
        <x:v>0.5</x:v>
      </x:c>
      <x:c r="K40" s="65" t="n">
        <x:f>MAX(H40-I40, 0)</x:f>
        <x:v>1</x:v>
      </x:c>
      <x:c r="L40" s="65" t="n">
        <x:v>0</x:v>
      </x:c>
      <x:c r="M40" s="65" t="n">
        <x:f>I40+L40</x:f>
        <x:v>6</x:v>
      </x:c>
      <x:c r="N40" s="65" t="n">
        <x:f>M40-H40</x:f>
        <x:v>4</x:v>
      </x:c>
      <x:c r="O40" s="66" t="n">
        <x:f>IF(H40=0,"No plan at start",M40/H40)</x:f>
        <x:v>3</x:v>
      </x:c>
      <x:c r="P40" s="29"/>
      <x:c r="Q40" s="30"/>
      <x:c r="R40" s="31"/>
      <x:c r="S40" s="31"/>
    </x:row>
    <x:row r="41" x14ac:dyDescent="0.2"/>
    <x:row r="42" x14ac:dyDescent="0.2"/>
    <x:row r="43" spans="1:19" x14ac:dyDescent="0.2">
      <x:c r="B43" s="14" t="s">
        <x:v>30</x:v>
      </x:c>
      <x:c r="C43" s="15"/>
      <x:c r="D43" s="15"/>
      <x:c r="E43" s="15"/>
      <x:c r="F43" s="16"/>
      <x:c r="G43" s="16"/>
      <x:c r="H43" s="17"/>
      <x:c r="I43" s="7"/>
      <x:c r="J43" s="7"/>
      <x:c r="K43" s="18"/>
      <x:c r="L43" s="7"/>
      <x:c r="M43" s="25"/>
      <x:c r="N43" s="7"/>
      <x:c r="O43" s="7"/>
    </x:row>
    <x:row r="44" spans="1:19" ht="13.5" thickBot="1" x14ac:dyDescent="0.25">
      <x:c r="B44" s="7"/>
      <x:c r="C44" s="7"/>
      <x:c r="D44" s="7"/>
      <x:c r="E44" s="7"/>
      <x:c r="F44" s="7"/>
      <x:c r="G44" s="7"/>
      <x:c r="H44" s="7"/>
      <x:c r="I44" s="7"/>
      <x:c r="J44" s="7"/>
      <x:c r="K44" s="7"/>
      <x:c r="L44" s="7"/>
      <x:c r="M44" s="7"/>
      <x:c r="N44" s="7"/>
      <x:c r="O44" s="7"/>
    </x:row>
    <x:row r="45" spans="1:19" x14ac:dyDescent="0.2">
      <x:c r="B45" s="48"/>
      <x:c r="C45" s="49"/>
      <x:c r="D45" s="77" t="s">
        <x:v>39</x:v>
      </x:c>
      <x:c r="E45" s="78"/>
      <x:c r="F45" s="78"/>
      <x:c r="G45" s="79"/>
      <x:c r="H45" s="77" t="s">
        <x:v>40</x:v>
      </x:c>
      <x:c r="I45" s="78"/>
      <x:c r="J45" s="78"/>
      <x:c r="K45" s="78"/>
      <x:c r="L45" s="78"/>
      <x:c r="M45" s="78"/>
      <x:c r="N45" s="78"/>
      <x:c r="O45" s="79"/>
    </x:row>
    <x:row r="46" spans="1:19" x14ac:dyDescent="0.2">
      <x:c r="B46" s="68"/>
      <x:c r="C46" s="69"/>
      <x:c r="D46" s="36" t="s">
        <x:v>2</x:v>
      </x:c>
      <x:c r="E46" s="38" t="s">
        <x:v>3</x:v>
      </x:c>
      <x:c r="F46" s="38" t="s">
        <x:v>44</x:v>
      </x:c>
      <x:c r="G46" s="37" t="s">
        <x:v>41</x:v>
      </x:c>
      <x:c r="H46" s="36" t="s">
        <x:v>20</x:v>
      </x:c>
      <x:c r="I46" s="38" t="s">
        <x:v>34</x:v>
      </x:c>
      <x:c r="J46" s="39" t="s">
        <x:v>35</x:v>
      </x:c>
      <x:c r="K46" s="39" t="s">
        <x:v>36</x:v>
      </x:c>
      <x:c r="L46" s="38" t="s">
        <x:v>19</x:v>
      </x:c>
      <x:c r="M46" s="38" t="s">
        <x:v>37</x:v>
      </x:c>
      <x:c r="N46" s="38" t="s">
        <x:v>22</x:v>
      </x:c>
      <x:c r="O46" s="37" t="s">
        <x:v>23</x:v>
      </x:c>
    </x:row>
    <x:row r="47" spans="1:19" ht="76.5" x14ac:dyDescent="0.2">
      <x:c r="B47" s="40" t="s">
        <x:v>14</x:v>
      </x:c>
      <x:c r="C47" s="41" t="s">
        <x:v>28</x:v>
      </x:c>
      <x:c r="D47" s="40" t="s">
        <x:v>45</x:v>
      </x:c>
      <x:c r="E47" s="42" t="s">
        <x:v>15</x:v>
      </x:c>
      <x:c r="F47" s="42" t="s">
        <x:v>42</x:v>
      </x:c>
      <x:c r="G47" s="41" t="s">
        <x:v>43</x:v>
      </x:c>
      <x:c r="H47" s="40" t="s">
        <x:v>46</x:v>
      </x:c>
      <x:c r="I47" s="42" t="s">
        <x:v>31</x:v>
      </x:c>
      <x:c r="J47" s="43" t="s">
        <x:v>47</x:v>
      </x:c>
      <x:c r="K47" s="43" t="s">
        <x:v>17</x:v>
      </x:c>
      <x:c r="L47" s="42" t="s">
        <x:v>48</x:v>
      </x:c>
      <x:c r="M47" s="42" t="s">
        <x:v>32</x:v>
      </x:c>
      <x:c r="N47" s="42" t="s">
        <x:v>33</x:v>
      </x:c>
      <x:c r="O47" s="41" t="s">
        <x:v>24</x:v>
      </x:c>
    </x:row>
    <x:row r="48" spans="1:19" hidden="1" outlineLevel="2" collapsed="1" x14ac:dyDescent="0.2">
      <x:c r="B48" s="45" t="inlineStr">
        <x:is>
          <x:t>E872</x:t>
        </x:is>
      </x:c>
      <x:c r="C48" s="46" t="inlineStr">
        <x:is>
          <x:t>Reszka, Bartlomiej</x:t>
        </x:is>
      </x:c>
      <x:c r="D48" s="45" t="n">
        <x:v>1921.92</x:v>
      </x:c>
      <x:c r="E48" s="19" t="n">
        <x:v>0</x:v>
      </x:c>
      <x:c r="F48" s="19" t="n">
        <x:f>MAX(D48-E48, 0)</x:f>
        <x:v>1</x:v>
      </x:c>
      <x:c r="G48" s="47" t="n">
        <x:f>IF(D48=0,0,ABS(E48/D48))</x:f>
        <x:v>0.5</x:v>
      </x:c>
      <x:c r="H48" s="52"/>
      <x:c r="I48" s="50"/>
      <x:c r="J48" s="50"/>
      <x:c r="K48" s="51"/>
      <x:c r="L48" s="19" t="n">
        <x:v>6260.80</x:v>
      </x:c>
      <x:c r="M48" s="50"/>
      <x:c r="N48" s="50"/>
      <x:c r="O48" s="70"/>
    </x:row>
    <x:row r="49" spans="1:19" hidden="1" outlineLevel="2" collapsed="1" x14ac:dyDescent="0.2">
      <x:c r="B49" s="45" t="inlineStr">
        <x:is>
          <x:t>E872</x:t>
        </x:is>
      </x:c>
      <x:c r="C49" s="46" t="inlineStr">
        <x:is>
          <x:t>Stanislawek, Piotr</x:t>
        </x:is>
      </x:c>
      <x:c r="D49" s="45" t="n">
        <x:v>2096.38</x:v>
      </x:c>
      <x:c r="E49" s="19" t="n">
        <x:v>494</x:v>
      </x:c>
      <x:c r="F49" s="19" t="n">
        <x:f>MAX(D49-E49, 0)</x:f>
        <x:v>1</x:v>
      </x:c>
      <x:c r="G49" s="47" t="n">
        <x:f>IF(D49=0,0,ABS(E49/D49))</x:f>
        <x:v>0.5</x:v>
      </x:c>
      <x:c r="H49" s="72"/>
      <x:c r="I49" s="73"/>
      <x:c r="J49" s="73"/>
      <x:c r="K49" s="74"/>
      <x:c r="L49" s="19" t="n">
        <x:v>27381.12</x:v>
      </x:c>
      <x:c r="M49" s="73"/>
      <x:c r="N49" s="73"/>
      <x:c r="O49" s="76"/>
    </x:row>
    <x:row r="50" spans="1:19" hidden="1" outlineLevel="2" collapsed="1" x14ac:dyDescent="0.2">
      <x:c r="B50" s="45" t="inlineStr">
        <x:is>
          <x:t>E872</x:t>
        </x:is>
      </x:c>
      <x:c r="C50" s="46" t="inlineStr">
        <x:is>
          <x:t>Trakul, Tomasz</x:t>
        </x:is>
      </x:c>
      <x:c r="D50" s="45" t="n">
        <x:v>3756.48</x:v>
      </x:c>
      <x:c r="E50" s="19" t="n">
        <x:v>1073.28</x:v>
      </x:c>
      <x:c r="F50" s="19" t="n">
        <x:f>MAX(D50-E50, 0)</x:f>
        <x:v>1</x:v>
      </x:c>
      <x:c r="G50" s="47" t="n">
        <x:f>IF(D50=0,0,ABS(E50/D50))</x:f>
        <x:v>0.5</x:v>
      </x:c>
      <x:c r="H50" s="53"/>
      <x:c r="I50" s="54"/>
      <x:c r="J50" s="54"/>
      <x:c r="K50" s="55"/>
      <x:c r="L50" s="19" t="n">
        <x:v>42448.6712</x:v>
      </x:c>
      <x:c r="M50" s="54"/>
      <x:c r="N50" s="54"/>
      <x:c r="O50" s="71"/>
    </x:row>
    <x:row r="51" spans="1:19" outlineLevel="1" x14ac:dyDescent="0.2">
      <x:c r="B51" s="58" t="inlineStr">
        <x:v>49</x:v>
        <x:is>
          <x:t>Total E872</x:t>
        </x:is>
      </x:c>
      <x:c r="C51" s="59"/>
      <x:c r="D51" s="58" t="n">
        <x:v>7774.78</x:v>
      </x:c>
      <x:c r="E51" s="60" t="n">
        <x:v>1567.28</x:v>
      </x:c>
      <x:c r="F51" s="60" t="n">
        <x:f>MAX(D51-E51, 0)</x:f>
        <x:v>1</x:v>
      </x:c>
      <x:c r="G51" s="61" t="n">
        <x:f>IF(D51=0,0,ABS(E51/D51))</x:f>
        <x:v>0.5</x:v>
      </x:c>
      <x:c r="H51" s="58" t="n">
        <x:v>193232.0</x:v>
      </x:c>
      <x:c r="I51" s="60" t="n">
        <x:v>171881.220</x:v>
      </x:c>
      <x:c r="J51" s="62" t="n">
        <x:f>IF(H51=0,"No plan at start",I51/H51)</x:f>
        <x:v>2</x:v>
      </x:c>
      <x:c r="K51" s="60" t="n">
        <x:f>MAX(H51-I51, 0)</x:f>
        <x:v>0</x:v>
      </x:c>
      <x:c r="L51" s="60" t="n">
        <x:v>76090.5912</x:v>
      </x:c>
      <x:c r="M51" s="60" t="n">
        <x:f>I51+L51</x:f>
        <x:v>3</x:v>
      </x:c>
      <x:c r="N51" s="60" t="n">
        <x:f>M51-H51</x:f>
        <x:v>2</x:v>
      </x:c>
      <x:c r="O51" s="61" t="n">
        <x:f>IF(H51=0,"No plan at start",M51/H51)</x:f>
        <x:v>3</x:v>
      </x:c>
    </x:row>
    <x:row r="52" spans="1:19" hidden="1" outlineLevel="2" collapsed="1" x14ac:dyDescent="0.2">
      <x:c r="B52" s="45" t="inlineStr">
        <x:is>
          <x:t>F808</x:t>
        </x:is>
      </x:c>
      <x:c r="C52" s="46" t="inlineStr">
        <x:is>
          <x:t>Gniwek, Robert</x:t>
        </x:is>
      </x:c>
      <x:c r="D52" s="45" t="n">
        <x:v>2620.8</x:v>
      </x:c>
      <x:c r="E52" s="19" t="n">
        <x:v>754</x:v>
      </x:c>
      <x:c r="F52" s="19" t="n">
        <x:f>MAX(D52-E52, 0)</x:f>
        <x:v>1</x:v>
      </x:c>
      <x:c r="G52" s="47" t="n">
        <x:f>IF(D52=0,0,ABS(E52/D52))</x:f>
        <x:v>0.5</x:v>
      </x:c>
      <x:c r="H52" s="52"/>
      <x:c r="I52" s="50"/>
      <x:c r="J52" s="50"/>
      <x:c r="K52" s="51"/>
      <x:c r="L52" s="19" t="n">
        <x:v>14102.4</x:v>
      </x:c>
      <x:c r="M52" s="50"/>
      <x:c r="N52" s="50"/>
      <x:c r="O52" s="70"/>
    </x:row>
    <x:row r="53" spans="1:19" hidden="1" outlineLevel="2" collapsed="1" x14ac:dyDescent="0.2">
      <x:c r="B53" s="45" t="inlineStr">
        <x:is>
          <x:t>F808</x:t>
        </x:is>
      </x:c>
      <x:c r="C53" s="46" t="inlineStr">
        <x:is>
          <x:t>Krzysztofowicz, Jaroslaw</x:t>
        </x:is>
      </x:c>
      <x:c r="D53" s="45" t="n">
        <x:v>7512.96</x:v>
      </x:c>
      <x:c r="E53" s="19" t="n">
        <x:v>3644.68</x:v>
      </x:c>
      <x:c r="F53" s="19" t="n">
        <x:f>MAX(D53-E53, 0)</x:f>
        <x:v>1</x:v>
      </x:c>
      <x:c r="G53" s="47" t="n">
        <x:f>IF(D53=0,0,ABS(E53/D53))</x:f>
        <x:v>0.5</x:v>
      </x:c>
      <x:c r="H53" s="53"/>
      <x:c r="I53" s="54"/>
      <x:c r="J53" s="54"/>
      <x:c r="K53" s="55"/>
      <x:c r="L53" s="19" t="n">
        <x:v>33665.216</x:v>
      </x:c>
      <x:c r="M53" s="54"/>
      <x:c r="N53" s="54"/>
      <x:c r="O53" s="71"/>
    </x:row>
    <x:row r="54" spans="1:19" outlineLevel="1" x14ac:dyDescent="0.2">
      <x:c r="B54" s="58" t="inlineStr">
        <x:v>49</x:v>
        <x:is>
          <x:t>Total F808</x:t>
        </x:is>
      </x:c>
      <x:c r="C54" s="59"/>
      <x:c r="D54" s="58" t="n">
        <x:v>10133.76</x:v>
      </x:c>
      <x:c r="E54" s="60" t="n">
        <x:v>4398.68</x:v>
      </x:c>
      <x:c r="F54" s="60" t="n">
        <x:f>MAX(D54-E54, 0)</x:f>
        <x:v>1</x:v>
      </x:c>
      <x:c r="G54" s="61" t="n">
        <x:f>IF(D54=0,0,ABS(E54/D54))</x:f>
        <x:v>0.5</x:v>
      </x:c>
      <x:c r="H54" s="58" t="n">
        <x:v>45972.16</x:v>
      </x:c>
      <x:c r="I54" s="60" t="n">
        <x:v>275886.26</x:v>
      </x:c>
      <x:c r="J54" s="62" t="n">
        <x:f>IF(H54=0,"No plan at start",I54/H54)</x:f>
        <x:v>2</x:v>
      </x:c>
      <x:c r="K54" s="60" t="n">
        <x:f>MAX(H54-I54, 0)</x:f>
        <x:v>0</x:v>
      </x:c>
      <x:c r="L54" s="60" t="n">
        <x:v>47767.616</x:v>
      </x:c>
      <x:c r="M54" s="60" t="n">
        <x:f>I54+L54</x:f>
        <x:v>3</x:v>
      </x:c>
      <x:c r="N54" s="60" t="n">
        <x:f>M54-H54</x:f>
        <x:v>2</x:v>
      </x:c>
      <x:c r="O54" s="61" t="n">
        <x:f>IF(H54=0,"No plan at start",M54/H54)</x:f>
        <x:v>3</x:v>
      </x:c>
    </x:row>
    <x:row r="55" spans="1:19" hidden="1" outlineLevel="2" collapsed="1" x14ac:dyDescent="0.2">
      <x:c r="B55" s="45" t="inlineStr">
        <x:is>
          <x:t>H808</x:t>
        </x:is>
      </x:c>
      <x:c r="C55" s="46" t="inlineStr">
        <x:is>
          <x:t>Gniwek, Robert</x:t>
        </x:is>
      </x:c>
      <x:c r="D55" s="45" t="n">
        <x:v>2184</x:v>
      </x:c>
      <x:c r="E55" s="19" t="n">
        <x:v>1365</x:v>
      </x:c>
      <x:c r="F55" s="19" t="n">
        <x:f>MAX(D55-E55, 0)</x:f>
        <x:v>1</x:v>
      </x:c>
      <x:c r="G55" s="47" t="n">
        <x:f>IF(D55=0,0,ABS(E55/D55))</x:f>
        <x:v>0.5</x:v>
      </x:c>
      <x:c r="H55" s="52"/>
      <x:c r="I55" s="50"/>
      <x:c r="J55" s="50"/>
      <x:c r="K55" s="51"/>
      <x:c r="L55" s="19" t="n">
        <x:v>0</x:v>
      </x:c>
      <x:c r="M55" s="50"/>
      <x:c r="N55" s="50"/>
      <x:c r="O55" s="70"/>
    </x:row>
    <x:row r="56" spans="1:19" hidden="1" outlineLevel="2" collapsed="1" x14ac:dyDescent="0.2">
      <x:c r="B56" s="45" t="inlineStr">
        <x:is>
          <x:t>H808</x:t>
        </x:is>
      </x:c>
      <x:c r="C56" s="46" t="inlineStr">
        <x:is>
          <x:t>Reszka, Bartlomiej</x:t>
        </x:is>
      </x:c>
      <x:c r="D56" s="45" t="n">
        <x:v>0</x:v>
      </x:c>
      <x:c r="E56" s="19" t="n">
        <x:v>130</x:v>
      </x:c>
      <x:c r="F56" s="19" t="n">
        <x:f>MAX(D56-E56, 0)</x:f>
        <x:v>1</x:v>
      </x:c>
      <x:c r="G56" s="47" t="n">
        <x:f>IF(D56=0,0,ABS(E56/D56))</x:f>
        <x:v>0.5</x:v>
      </x:c>
      <x:c r="H56" s="53"/>
      <x:c r="I56" s="54"/>
      <x:c r="J56" s="54"/>
      <x:c r="K56" s="55"/>
      <x:c r="L56" s="19" t="n">
        <x:v>0</x:v>
      </x:c>
      <x:c r="M56" s="54"/>
      <x:c r="N56" s="54"/>
      <x:c r="O56" s="71"/>
    </x:row>
    <x:row r="57" spans="1:19" outlineLevel="1" x14ac:dyDescent="0.2">
      <x:c r="B57" s="58" t="inlineStr">
        <x:v>49</x:v>
        <x:is>
          <x:t>Total H808</x:t>
        </x:is>
      </x:c>
      <x:c r="C57" s="59"/>
      <x:c r="D57" s="58" t="n">
        <x:v>2184</x:v>
      </x:c>
      <x:c r="E57" s="60" t="n">
        <x:v>1495</x:v>
      </x:c>
      <x:c r="F57" s="60" t="n">
        <x:f>MAX(D57-E57, 0)</x:f>
        <x:v>1</x:v>
      </x:c>
      <x:c r="G57" s="61" t="n">
        <x:f>IF(D57=0,0,ABS(E57/D57))</x:f>
        <x:v>0.5</x:v>
      </x:c>
      <x:c r="H57" s="58" t="n">
        <x:v>14227.2</x:v>
      </x:c>
      <x:c r="I57" s="60" t="n">
        <x:v>2301</x:v>
      </x:c>
      <x:c r="J57" s="62" t="n">
        <x:f>IF(H57=0,"No plan at start",I57/H57)</x:f>
        <x:v>2</x:v>
      </x:c>
      <x:c r="K57" s="60" t="n">
        <x:f>MAX(H57-I57, 0)</x:f>
        <x:v>0</x:v>
      </x:c>
      <x:c r="L57" s="60" t="n">
        <x:v>0</x:v>
      </x:c>
      <x:c r="M57" s="60" t="n">
        <x:f>I57+L57</x:f>
        <x:v>3</x:v>
      </x:c>
      <x:c r="N57" s="60" t="n">
        <x:f>M57-H57</x:f>
        <x:v>2</x:v>
      </x:c>
      <x:c r="O57" s="61" t="n">
        <x:f>IF(H57=0,"No plan at start",M57/H57)</x:f>
        <x:v>3</x:v>
      </x:c>
    </x:row>
    <x:row r="58" spans="1:19" hidden="1" outlineLevel="2" collapsed="1" x14ac:dyDescent="0.2">
      <x:c r="B58" s="45" t="inlineStr">
        <x:is>
          <x:t>J500</x:t>
        </x:is>
      </x:c>
      <x:c r="C58" s="46" t="inlineStr">
        <x:is>
          <x:t>Gniwek, Robert</x:t>
        </x:is>
      </x:c>
      <x:c r="D58" s="45" t="n">
        <x:v>0</x:v>
      </x:c>
      <x:c r="E58" s="19" t="n">
        <x:v>0</x:v>
      </x:c>
      <x:c r="F58" s="19" t="n">
        <x:f>MAX(D58-E58, 0)</x:f>
        <x:v>1</x:v>
      </x:c>
      <x:c r="G58" s="47" t="n">
        <x:f>IF(D58=0,0,ABS(E58/D58))</x:f>
        <x:v>0.5</x:v>
      </x:c>
      <x:c r="H58" s="52"/>
      <x:c r="I58" s="50"/>
      <x:c r="J58" s="50"/>
      <x:c r="K58" s="51"/>
      <x:c r="L58" s="19" t="n">
        <x:v>2184.0</x:v>
      </x:c>
      <x:c r="M58" s="50"/>
      <x:c r="N58" s="50"/>
      <x:c r="O58" s="70"/>
    </x:row>
    <x:row r="59" spans="1:19" outlineLevel="1" x14ac:dyDescent="0.2">
      <x:c r="B59" s="58" t="inlineStr">
        <x:v>49</x:v>
        <x:is>
          <x:t>Total J500</x:t>
        </x:is>
      </x:c>
      <x:c r="C59" s="59"/>
      <x:c r="D59" s="58" t="n">
        <x:v>0</x:v>
      </x:c>
      <x:c r="E59" s="60" t="n">
        <x:v>0</x:v>
      </x:c>
      <x:c r="F59" s="60" t="n">
        <x:f>MAX(D59-E59, 0)</x:f>
        <x:v>1</x:v>
      </x:c>
      <x:c r="G59" s="61" t="n">
        <x:f>IF(D59=0,0,ABS(E59/D59))</x:f>
        <x:v>0.5</x:v>
      </x:c>
      <x:c r="H59" s="58" t="n">
        <x:v>2745.6</x:v>
      </x:c>
      <x:c r="I59" s="60" t="n">
        <x:v>832</x:v>
      </x:c>
      <x:c r="J59" s="62" t="n">
        <x:f>IF(H59=0,"No plan at start",I59/H59)</x:f>
        <x:v>2</x:v>
      </x:c>
      <x:c r="K59" s="60" t="n">
        <x:f>MAX(H59-I59, 0)</x:f>
        <x:v>0</x:v>
      </x:c>
      <x:c r="L59" s="60" t="n">
        <x:v>2184.0</x:v>
      </x:c>
      <x:c r="M59" s="60" t="n">
        <x:f>I59+L59</x:f>
        <x:v>3</x:v>
      </x:c>
      <x:c r="N59" s="60" t="n">
        <x:f>M59-H59</x:f>
        <x:v>2</x:v>
      </x:c>
      <x:c r="O59" s="61" t="n">
        <x:f>IF(H59=0,"No plan at start",M59/H59)</x:f>
        <x:v>3</x:v>
      </x:c>
    </x:row>
    <x:row r="60" spans="1:19" hidden="1" outlineLevel="2" collapsed="1" x14ac:dyDescent="0.2">
      <x:c r="B60" s="45" t="inlineStr">
        <x:is>
          <x:t>K358</x:t>
        </x:is>
      </x:c>
      <x:c r="C60" s="46" t="inlineStr">
        <x:is>
          <x:t>Gniwek, Robert</x:t>
        </x:is>
      </x:c>
      <x:c r="D60" s="45" t="n">
        <x:v>0</x:v>
      </x:c>
      <x:c r="E60" s="19" t="n">
        <x:v>247</x:v>
      </x:c>
      <x:c r="F60" s="19" t="n">
        <x:f>MAX(D60-E60, 0)</x:f>
        <x:v>1</x:v>
      </x:c>
      <x:c r="G60" s="47" t="n">
        <x:f>IF(D60=0,0,ABS(E60/D60))</x:f>
        <x:v>0.5</x:v>
      </x:c>
      <x:c r="H60" s="52"/>
      <x:c r="I60" s="50"/>
      <x:c r="J60" s="50"/>
      <x:c r="K60" s="51"/>
      <x:c r="L60" s="19" t="n">
        <x:v>0</x:v>
      </x:c>
      <x:c r="M60" s="50"/>
      <x:c r="N60" s="50"/>
      <x:c r="O60" s="70"/>
    </x:row>
    <x:row r="61" spans="1:19" hidden="1" outlineLevel="2" collapsed="1" x14ac:dyDescent="0.2">
      <x:c r="B61" s="45" t="inlineStr">
        <x:is>
          <x:t>K358</x:t>
        </x:is>
      </x:c>
      <x:c r="C61" s="46" t="inlineStr">
        <x:is>
          <x:t>Reszka, Bartlomiej</x:t>
        </x:is>
      </x:c>
      <x:c r="D61" s="45" t="n">
        <x:v>0</x:v>
      </x:c>
      <x:c r="E61" s="19" t="n">
        <x:v>507</x:v>
      </x:c>
      <x:c r="F61" s="19" t="n">
        <x:f>MAX(D61-E61, 0)</x:f>
        <x:v>1</x:v>
      </x:c>
      <x:c r="G61" s="47" t="n">
        <x:f>IF(D61=0,0,ABS(E61/D61))</x:f>
        <x:v>0.5</x:v>
      </x:c>
      <x:c r="H61" s="72"/>
      <x:c r="I61" s="73"/>
      <x:c r="J61" s="73"/>
      <x:c r="K61" s="74"/>
      <x:c r="L61" s="19" t="n">
        <x:v>0</x:v>
      </x:c>
      <x:c r="M61" s="73"/>
      <x:c r="N61" s="73"/>
      <x:c r="O61" s="76"/>
    </x:row>
    <x:row r="62" spans="1:19" hidden="1" outlineLevel="2" collapsed="1" x14ac:dyDescent="0.2">
      <x:c r="B62" s="45" t="inlineStr">
        <x:is>
          <x:t>K358</x:t>
        </x:is>
      </x:c>
      <x:c r="C62" s="46" t="inlineStr">
        <x:is>
          <x:t>Trakul, Tomasz</x:t>
        </x:is>
      </x:c>
      <x:c r="D62" s="45" t="n">
        <x:v>0</x:v>
      </x:c>
      <x:c r="E62" s="19" t="n">
        <x:v>1431.04</x:v>
      </x:c>
      <x:c r="F62" s="19" t="n">
        <x:f>MAX(D62-E62, 0)</x:f>
        <x:v>1</x:v>
      </x:c>
      <x:c r="G62" s="47" t="n">
        <x:f>IF(D62=0,0,ABS(E62/D62))</x:f>
        <x:v>0.5</x:v>
      </x:c>
      <x:c r="H62" s="53"/>
      <x:c r="I62" s="54"/>
      <x:c r="J62" s="54"/>
      <x:c r="K62" s="55"/>
      <x:c r="L62" s="19" t="n">
        <x:v>0</x:v>
      </x:c>
      <x:c r="M62" s="54"/>
      <x:c r="N62" s="54"/>
      <x:c r="O62" s="71"/>
    </x:row>
    <x:row r="63" spans="1:19" outlineLevel="1" x14ac:dyDescent="0.2">
      <x:c r="B63" s="58" t="inlineStr">
        <x:v>49</x:v>
        <x:is>
          <x:t>Total K358</x:t>
        </x:is>
      </x:c>
      <x:c r="C63" s="59"/>
      <x:c r="D63" s="58" t="n">
        <x:v>0</x:v>
      </x:c>
      <x:c r="E63" s="60" t="n">
        <x:v>2185.04</x:v>
      </x:c>
      <x:c r="F63" s="60" t="n">
        <x:f>MAX(D63-E63, 0)</x:f>
        <x:v>1</x:v>
      </x:c>
      <x:c r="G63" s="61" t="n">
        <x:f>IF(D63=0,0,ABS(E63/D63))</x:f>
        <x:v>0.5</x:v>
      </x:c>
      <x:c r="H63" s="58" t="n">
        <x:v>0</x:v>
      </x:c>
      <x:c r="I63" s="60" t="n">
        <x:v>8009.04</x:v>
      </x:c>
      <x:c r="J63" s="62" t="n">
        <x:f>IF(H63=0,"No plan at start",I63/H63)</x:f>
        <x:v>2</x:v>
      </x:c>
      <x:c r="K63" s="60" t="n">
        <x:f>MAX(H63-I63, 0)</x:f>
        <x:v>0</x:v>
      </x:c>
      <x:c r="L63" s="60" t="n">
        <x:v>0</x:v>
      </x:c>
      <x:c r="M63" s="60" t="n">
        <x:f>I63+L63</x:f>
        <x:v>3</x:v>
      </x:c>
      <x:c r="N63" s="60" t="n">
        <x:f>M63-H63</x:f>
        <x:v>2</x:v>
      </x:c>
      <x:c r="O63" s="61" t="n">
        <x:f>IF(H63=0,"No plan at start",M63/H63)</x:f>
        <x:v>3</x:v>
      </x:c>
    </x:row>
    <x:row r="64" spans="1:19" hidden="1" outlineLevel="2" collapsed="1" x14ac:dyDescent="0.2">
      <x:c r="B64" s="45" t="inlineStr">
        <x:is>
          <x:t>K740</x:t>
        </x:is>
      </x:c>
      <x:c r="C64" s="46" t="inlineStr">
        <x:is>
          <x:t>Reszka, Bartlomiej</x:t>
        </x:is>
      </x:c>
      <x:c r="D64" s="45" t="n">
        <x:v>0</x:v>
      </x:c>
      <x:c r="E64" s="19" t="n">
        <x:v>0</x:v>
      </x:c>
      <x:c r="F64" s="19" t="n">
        <x:f>MAX(D64-E64, 0)</x:f>
        <x:v>1</x:v>
      </x:c>
      <x:c r="G64" s="47" t="n">
        <x:f>IF(D64=0,0,ABS(E64/D64))</x:f>
        <x:v>0.5</x:v>
      </x:c>
      <x:c r="H64" s="52"/>
      <x:c r="I64" s="50"/>
      <x:c r="J64" s="50"/>
      <x:c r="K64" s="51"/>
      <x:c r="L64" s="19" t="n">
        <x:v>13879.06</x:v>
      </x:c>
      <x:c r="M64" s="50"/>
      <x:c r="N64" s="50"/>
      <x:c r="O64" s="70"/>
    </x:row>
    <x:row r="65" spans="1:19" outlineLevel="1" x14ac:dyDescent="0.2">
      <x:c r="B65" s="58" t="inlineStr">
        <x:v>49</x:v>
        <x:is>
          <x:t>Total K740</x:t>
        </x:is>
      </x:c>
      <x:c r="C65" s="59"/>
      <x:c r="D65" s="58" t="n">
        <x:v>0</x:v>
      </x:c>
      <x:c r="E65" s="60" t="n">
        <x:v>0</x:v>
      </x:c>
      <x:c r="F65" s="60" t="n">
        <x:f>MAX(D65-E65, 0)</x:f>
        <x:v>1</x:v>
      </x:c>
      <x:c r="G65" s="61" t="n">
        <x:f>IF(D65=0,0,ABS(E65/D65))</x:f>
        <x:v>0.5</x:v>
      </x:c>
      <x:c r="H65" s="58" t="n">
        <x:v>0</x:v>
      </x:c>
      <x:c r="I65" s="60" t="n">
        <x:v>17856.80</x:v>
      </x:c>
      <x:c r="J65" s="62" t="n">
        <x:f>IF(H65=0,"No plan at start",I65/H65)</x:f>
        <x:v>2</x:v>
      </x:c>
      <x:c r="K65" s="60" t="n">
        <x:f>MAX(H65-I65, 0)</x:f>
        <x:v>0</x:v>
      </x:c>
      <x:c r="L65" s="60" t="n">
        <x:v>13879.06</x:v>
      </x:c>
      <x:c r="M65" s="60" t="n">
        <x:f>I65+L65</x:f>
        <x:v>3</x:v>
      </x:c>
      <x:c r="N65" s="60" t="n">
        <x:f>M65-H65</x:f>
        <x:v>2</x:v>
      </x:c>
      <x:c r="O65" s="61" t="n">
        <x:f>IF(H65=0,"No plan at start",M65/H65)</x:f>
        <x:v>3</x:v>
      </x:c>
    </x:row>
    <x:row r="66" spans="1:19" hidden="1" outlineLevel="2" collapsed="1" x14ac:dyDescent="0.2">
      <x:c r="B66" s="45" t="inlineStr">
        <x:is>
          <x:t>N706</x:t>
        </x:is>
      </x:c>
      <x:c r="C66" s="46" t="inlineStr">
        <x:is>
          <x:t>Reszka, Bartlomiej</x:t>
        </x:is>
      </x:c>
      <x:c r="D66" s="45" t="n">
        <x:v>0</x:v>
      </x:c>
      <x:c r="E66" s="19" t="n">
        <x:v>260</x:v>
      </x:c>
      <x:c r="F66" s="19" t="n">
        <x:f>MAX(D66-E66, 0)</x:f>
        <x:v>1</x:v>
      </x:c>
      <x:c r="G66" s="47" t="n">
        <x:f>IF(D66=0,0,ABS(E66/D66))</x:f>
        <x:v>0.5</x:v>
      </x:c>
      <x:c r="H66" s="52"/>
      <x:c r="I66" s="50"/>
      <x:c r="J66" s="50"/>
      <x:c r="K66" s="51"/>
      <x:c r="L66" s="19" t="n">
        <x:v>0</x:v>
      </x:c>
      <x:c r="M66" s="50"/>
      <x:c r="N66" s="50"/>
      <x:c r="O66" s="70"/>
    </x:row>
    <x:row r="67" spans="1:19" hidden="1" outlineLevel="2" collapsed="1" x14ac:dyDescent="0.2">
      <x:c r="B67" s="45" t="inlineStr">
        <x:is>
          <x:t>N706</x:t>
        </x:is>
      </x:c>
      <x:c r="C67" s="46" t="inlineStr">
        <x:is>
          <x:t>Stanislawek, Piotr</x:t>
        </x:is>
      </x:c>
      <x:c r="D67" s="45" t="n">
        <x:v>0</x:v>
      </x:c>
      <x:c r="E67" s="19" t="n">
        <x:v>598</x:v>
      </x:c>
      <x:c r="F67" s="19" t="n">
        <x:f>MAX(D67-E67, 0)</x:f>
        <x:v>1</x:v>
      </x:c>
      <x:c r="G67" s="47" t="n">
        <x:f>IF(D67=0,0,ABS(E67/D67))</x:f>
        <x:v>0.5</x:v>
      </x:c>
      <x:c r="H67" s="53"/>
      <x:c r="I67" s="54"/>
      <x:c r="J67" s="54"/>
      <x:c r="K67" s="55"/>
      <x:c r="L67" s="19" t="n">
        <x:v>0</x:v>
      </x:c>
      <x:c r="M67" s="54"/>
      <x:c r="N67" s="54"/>
      <x:c r="O67" s="71"/>
    </x:row>
    <x:row r="68" spans="1:19" outlineLevel="1" x14ac:dyDescent="0.2">
      <x:c r="B68" s="58" t="inlineStr">
        <x:v>49</x:v>
        <x:is>
          <x:t>Total N706</x:t>
        </x:is>
      </x:c>
      <x:c r="C68" s="59"/>
      <x:c r="D68" s="58" t="n">
        <x:v>0</x:v>
      </x:c>
      <x:c r="E68" s="60" t="n">
        <x:v>858</x:v>
      </x:c>
      <x:c r="F68" s="60" t="n">
        <x:f>MAX(D68-E68, 0)</x:f>
        <x:v>1</x:v>
      </x:c>
      <x:c r="G68" s="61" t="n">
        <x:f>IF(D68=0,0,ABS(E68/D68))</x:f>
        <x:v>0.5</x:v>
      </x:c>
      <x:c r="H68" s="58" t="n">
        <x:v>31886.4</x:v>
      </x:c>
      <x:c r="I68" s="60" t="n">
        <x:v>13932.88</x:v>
      </x:c>
      <x:c r="J68" s="62" t="n">
        <x:f>IF(H68=0,"No plan at start",I68/H68)</x:f>
        <x:v>2</x:v>
      </x:c>
      <x:c r="K68" s="60" t="n">
        <x:f>MAX(H68-I68, 0)</x:f>
        <x:v>0</x:v>
      </x:c>
      <x:c r="L68" s="60" t="n">
        <x:v>0</x:v>
      </x:c>
      <x:c r="M68" s="60" t="n">
        <x:f>I68+L68</x:f>
        <x:v>3</x:v>
      </x:c>
      <x:c r="N68" s="60" t="n">
        <x:f>M68-H68</x:f>
        <x:v>2</x:v>
      </x:c>
      <x:c r="O68" s="61" t="n">
        <x:f>IF(H68=0,"No plan at start",M68/H68)</x:f>
        <x:v>3</x:v>
      </x:c>
    </x:row>
    <x:row r="69" spans="1:19" hidden="1" outlineLevel="2" collapsed="1" x14ac:dyDescent="0.2">
      <x:c r="B69" s="45" t="inlineStr">
        <x:is>
          <x:t>N707</x:t>
        </x:is>
      </x:c>
      <x:c r="C69" s="46" t="inlineStr">
        <x:is>
          <x:t>Reszka, Bartlomiej</x:t>
        </x:is>
      </x:c>
      <x:c r="D69" s="45" t="n">
        <x:v>0</x:v>
      </x:c>
      <x:c r="E69" s="19" t="n">
        <x:v>338</x:v>
      </x:c>
      <x:c r="F69" s="19" t="n">
        <x:f>MAX(D69-E69, 0)</x:f>
        <x:v>1</x:v>
      </x:c>
      <x:c r="G69" s="47" t="n">
        <x:f>IF(D69=0,0,ABS(E69/D69))</x:f>
        <x:v>0.5</x:v>
      </x:c>
      <x:c r="H69" s="52"/>
      <x:c r="I69" s="50"/>
      <x:c r="J69" s="50"/>
      <x:c r="K69" s="51"/>
      <x:c r="L69" s="19" t="n">
        <x:v>0</x:v>
      </x:c>
      <x:c r="M69" s="50"/>
      <x:c r="N69" s="50"/>
      <x:c r="O69" s="70"/>
    </x:row>
    <x:row r="70" spans="1:19" hidden="1" outlineLevel="2" collapsed="1" x14ac:dyDescent="0.2">
      <x:c r="B70" s="45" t="inlineStr">
        <x:is>
          <x:t>N707</x:t>
        </x:is>
      </x:c>
      <x:c r="C70" s="46" t="inlineStr">
        <x:is>
          <x:t>Stanislawek, Piotr</x:t>
        </x:is>
      </x:c>
      <x:c r="D70" s="45" t="n">
        <x:v>0</x:v>
      </x:c>
      <x:c r="E70" s="19" t="n">
        <x:v>156</x:v>
      </x:c>
      <x:c r="F70" s="19" t="n">
        <x:f>MAX(D70-E70, 0)</x:f>
        <x:v>1</x:v>
      </x:c>
      <x:c r="G70" s="47" t="n">
        <x:f>IF(D70=0,0,ABS(E70/D70))</x:f>
        <x:v>0.5</x:v>
      </x:c>
      <x:c r="H70" s="53"/>
      <x:c r="I70" s="54"/>
      <x:c r="J70" s="54"/>
      <x:c r="K70" s="55"/>
      <x:c r="L70" s="19" t="n">
        <x:v>0</x:v>
      </x:c>
      <x:c r="M70" s="54"/>
      <x:c r="N70" s="54"/>
      <x:c r="O70" s="71"/>
    </x:row>
    <x:row r="71" spans="1:19" ht="13.5" outlineLevel="1" thickBot="1" x14ac:dyDescent="0.25">
      <x:c r="B71" s="63" t="inlineStr">
        <x:v>49</x:v>
        <x:is>
          <x:t>Total N707</x:t>
        </x:is>
      </x:c>
      <x:c r="C71" s="64"/>
      <x:c r="D71" s="63" t="n">
        <x:v>0</x:v>
      </x:c>
      <x:c r="E71" s="65" t="n">
        <x:v>494</x:v>
      </x:c>
      <x:c r="F71" s="65" t="n">
        <x:f>MAX(D71-E71, 0)</x:f>
        <x:v>0</x:v>
      </x:c>
      <x:c r="G71" s="66" t="n">
        <x:f>IF(D71=0,0,ABS(E71/D71))</x:f>
        <x:v>4</x:v>
      </x:c>
      <x:c r="H71" s="63" t="n">
        <x:v>43243.2</x:v>
      </x:c>
      <x:c r="I71" s="65" t="n">
        <x:v>6826.04</x:v>
      </x:c>
      <x:c r="J71" s="67" t="n">
        <x:f>IF(H71=0,"No plan at start",I71/H71)</x:f>
        <x:v>0.5</x:v>
      </x:c>
      <x:c r="K71" s="65" t="n">
        <x:f>MAX(H71-I71, 0)</x:f>
        <x:v>1</x:v>
      </x:c>
      <x:c r="L71" s="65" t="n">
        <x:v>0</x:v>
      </x:c>
      <x:c r="M71" s="65" t="n">
        <x:f>I71+L71</x:f>
        <x:v>6</x:v>
      </x:c>
      <x:c r="N71" s="65" t="n">
        <x:f>M71-H71</x:f>
        <x:v>4</x:v>
      </x:c>
      <x:c r="O71" s="66" t="n">
        <x:f>IF(H71=0,"No plan at start",M71/H71)</x:f>
        <x:v>3</x:v>
      </x:c>
    </x:row>
    <x:row r="72" x14ac:dyDescent="0.2"/>
  </x:sheetData>
  <x:mergeCells count="9">
    <x:mergeCell ref="B2:C2"/>
    <x:mergeCell ref="F2:G2"/>
    <x:mergeCell ref="F4:G4"/>
    <x:mergeCell ref="F5:O7"/>
    <x:mergeCell ref="F8:M9"/>
    <x:mergeCell ref="D14:G14"/>
    <x:mergeCell ref="H14:O14"/>
    <x:mergeCell ref="D45:G45"/>
    <x:mergeCell ref="H45:O45"/>
  </x:mergeCells>
  <x:conditionalFormatting sqref="K20 N20 K23 N23 K26 N26 K28 N28 K32 N32 K34 N34 K37 N37 K40 N40 F17:F40 K51 N51 K54 N54 K57 N57 K59 N59 K63 N63 K65 N65 K68 N68 K71 N71 F48:F71">
    <x:cfRule type="cellIs" dxfId="1" priority="1" operator="greaterThan">
      <x:formula>0</x:formula>
    </x:cfRule>
    <x:cfRule type="cellIs" dxfId="0" priority="2"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2017-06-25T12:53:46Z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
  </op:property>
</op:Properties>
</file>