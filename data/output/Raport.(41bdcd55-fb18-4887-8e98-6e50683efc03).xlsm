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<sst xmlns="http://schemas.openxmlformats.org/spreadsheetml/2006/main" count="79" uniqueCount="50">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</sst>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Pipelines, Water &amp; Waste Treatment</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Katarzyna Ostrowska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Ostrowska, Katarzyna</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10219.17</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Polarczyk, Marcin</x:t>
        </x:is>
      </x:c>
      <x:c r="D19" s="45" t="n">
        <x:v>168</x:v>
      </x:c>
      <x:c r="E19" s="19" t="n">
        <x:v>23.25</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outlineLevel="1" x14ac:dyDescent="0.2">
      <x:c r="A20" s="5"/>
      <x:c r="B20" s="58" t="inlineStr">
        <x:v>49</x:v>
        <x:is>
          <x:t>Total E872</x:t>
        </x:is>
      </x:c>
      <x:c r="C20" s="59"/>
      <x:c r="D20" s="58" t="n">
        <x:v>168</x:v>
      </x:c>
      <x:c r="E20" s="60" t="n">
        <x:v>23.25</x:v>
      </x:c>
      <x:c r="F20" s="60" t="n">
        <x:f>MAX(D20-E20, 0)</x:f>
        <x:v>1</x:v>
      </x:c>
      <x:c r="G20" s="61" t="n">
        <x:f>IF(D20=0,0,ABS(E20/D20))</x:f>
        <x:v>0.5</x:v>
      </x:c>
      <x:c r="H20" s="58" t="n">
        <x:v>0</x:v>
      </x:c>
      <x:c r="I20" s="60" t="n">
        <x:v>265.50</x:v>
      </x:c>
      <x:c r="J20" s="62" t="n">
        <x:f>IF(H20=0,"No plan at start",I20/H20)</x:f>
        <x:v>2</x:v>
      </x:c>
      <x:c r="K20" s="60" t="n">
        <x:f>MAX(H20-I20, 0)</x:f>
        <x:v>0</x:v>
      </x:c>
      <x:c r="L20" s="60" t="n">
        <x:v>0</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G429</x:t>
        </x:is>
      </x:c>
      <x:c r="C21" s="46" t="inlineStr">
        <x:is>
          <x:t>Ostrowska, Katarzyna</x:t>
        </x:is>
      </x:c>
      <x:c r="D21" s="45" t="n">
        <x:v>35</x:v>
      </x:c>
      <x:c r="E21" s="19" t="n">
        <x:v>37</x:v>
      </x:c>
      <x:c r="F21" s="19" t="n">
        <x:f>MAX(D21-E21, 0)</x:f>
        <x:v>1</x:v>
      </x:c>
      <x:c r="G21" s="47" t="n">
        <x:f>IF(D21=0,0,ABS(E21/D21))</x:f>
        <x:v>0.5</x:v>
      </x:c>
      <x:c r="H21" s="52"/>
      <x:c r="I21" s="50"/>
      <x:c r="J21" s="50"/>
      <x:c r="K21" s="51"/>
      <x:c r="L21" s="19" t="n">
        <x:v>655</x:v>
      </x:c>
      <x:c r="M21" s="56"/>
      <x:c r="N21" s="50"/>
      <x:c r="O21" s="70"/>
      <x:c r="P21" s="29"/>
      <x:c r="Q21" s="30"/>
      <x:c r="R21" s="31"/>
      <x:c r="S21" s="31"/>
    </x:row>
    <x:row r="22" spans="1:19" s="7" customFormat="1" hidden="1" outlineLevel="2" collapsed="1" x14ac:dyDescent="0.2">
      <x:c r="A22" s="5"/>
      <x:c r="B22" s="45" t="inlineStr">
        <x:is>
          <x:t>G429</x:t>
        </x:is>
      </x:c>
      <x:c r="C22" s="46" t="inlineStr">
        <x:is>
          <x:t>Zdrojewska (Rosloniec), Karolina</x:t>
        </x:is>
      </x:c>
      <x:c r="D22" s="45" t="n">
        <x:v>24</x:v>
      </x:c>
      <x:c r="E22" s="19" t="n">
        <x:v>6.5</x:v>
      </x:c>
      <x:c r="F22" s="19" t="n">
        <x:f>MAX(D22-E22, 0)</x:f>
        <x:v>1</x:v>
      </x:c>
      <x:c r="G22" s="47" t="n">
        <x:f>IF(D22=0,0,ABS(E22/D22))</x:f>
        <x:v>0.5</x:v>
      </x:c>
      <x:c r="H22" s="72"/>
      <x:c r="I22" s="73"/>
      <x:c r="J22" s="73"/>
      <x:c r="K22" s="74"/>
      <x:c r="L22" s="19" t="n">
        <x:v>328</x:v>
      </x:c>
      <x:c r="M22" s="57"/>
      <x:c r="N22" s="54"/>
      <x:c r="O22" s="71"/>
      <x:c r="P22" s="29"/>
      <x:c r="Q22" s="30"/>
      <x:c r="R22" s="31"/>
      <x:c r="S22" s="31"/>
    </x:row>
    <x:row r="23" spans="1:19" s="7" customFormat="1" outlineLevel="1" x14ac:dyDescent="0.2">
      <x:c r="A23" s="5"/>
      <x:c r="B23" s="58" t="inlineStr">
        <x:v>49</x:v>
        <x:is>
          <x:t>Total G429</x:t>
        </x:is>
      </x:c>
      <x:c r="C23" s="59"/>
      <x:c r="D23" s="58" t="n">
        <x:v>59</x:v>
      </x:c>
      <x:c r="E23" s="60" t="n">
        <x:v>43.5</x:v>
      </x:c>
      <x:c r="F23" s="60" t="n">
        <x:f>MAX(D23-E23, 0)</x:f>
        <x:v>1</x:v>
      </x:c>
      <x:c r="G23" s="61" t="n">
        <x:f>IF(D23=0,0,ABS(E23/D23))</x:f>
        <x:v>0.5</x:v>
      </x:c>
      <x:c r="H23" s="58" t="n">
        <x:v>0</x:v>
      </x:c>
      <x:c r="I23" s="60" t="n">
        <x:v>7275.83</x:v>
      </x:c>
      <x:c r="J23" s="62" t="n">
        <x:f>IF(H23=0,"No plan at start",I23/H23)</x:f>
        <x:v>2</x:v>
      </x:c>
      <x:c r="K23" s="60" t="n">
        <x:f>MAX(H23-I23, 0)</x:f>
        <x:v>0</x:v>
      </x:c>
      <x:c r="L23" s="60" t="n">
        <x:v>983</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Polarczyk, Marcin</x:t>
        </x:is>
      </x:c>
      <x:c r="D24" s="45" t="n">
        <x:v>0</x:v>
      </x:c>
      <x:c r="E24" s="19" t="n">
        <x:v>0</x:v>
      </x:c>
      <x:c r="F24" s="19" t="n">
        <x:f>MAX(D24-E24, 0)</x:f>
        <x:v>1</x:v>
      </x:c>
      <x:c r="G24" s="47" t="n">
        <x:f>IF(D24=0,0,ABS(E24/D24))</x:f>
        <x:v>0.5</x:v>
      </x:c>
      <x:c r="H24" s="52"/>
      <x:c r="I24" s="50"/>
      <x:c r="J24" s="50"/>
      <x:c r="K24" s="51"/>
      <x:c r="L24" s="19" t="n">
        <x:v>172</x:v>
      </x:c>
      <x:c r="M24" s="56"/>
      <x:c r="N24" s="50"/>
      <x:c r="O24" s="70"/>
      <x:c r="P24" s="29"/>
      <x:c r="Q24" s="30"/>
      <x:c r="R24" s="31"/>
      <x:c r="S24" s="31"/>
    </x:row>
    <x:row r="25" spans="1:19" s="7" customFormat="1" outlineLevel="1" x14ac:dyDescent="0.2">
      <x:c r="A25" s="5"/>
      <x:c r="B25" s="58" t="inlineStr">
        <x:v>49</x:v>
        <x:is>
          <x:t>Total H808</x:t>
        </x:is>
      </x:c>
      <x:c r="C25" s="59"/>
      <x:c r="D25" s="58" t="n">
        <x:v>0</x:v>
      </x:c>
      <x:c r="E25" s="60" t="n">
        <x:v>0</x:v>
      </x:c>
      <x:c r="F25" s="60" t="n">
        <x:f>MAX(D25-E25, 0)</x:f>
        <x:v>1</x:v>
      </x:c>
      <x:c r="G25" s="61" t="n">
        <x:f>IF(D25=0,0,ABS(E25/D25))</x:f>
        <x:v>0.5</x:v>
      </x:c>
      <x:c r="H25" s="58" t="n">
        <x:v>259.2</x:v>
      </x:c>
      <x:c r="I25" s="60" t="n">
        <x:v>416.00</x:v>
      </x:c>
      <x:c r="J25" s="62" t="n">
        <x:f>IF(H25=0,"No plan at start",I25/H25)</x:f>
        <x:v>2</x:v>
      </x:c>
      <x:c r="K25" s="60" t="n">
        <x:f>MAX(H25-I25, 0)</x:f>
        <x:v>0</x:v>
      </x:c>
      <x:c r="L25" s="60" t="n">
        <x:v>172</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J500</x:t>
        </x:is>
      </x:c>
      <x:c r="C26" s="46" t="inlineStr">
        <x:is>
          <x:t>Polarczyk, Marcin</x:t>
        </x:is>
      </x:c>
      <x:c r="D26" s="45" t="n">
        <x:v>75</x:v>
      </x:c>
      <x:c r="E26" s="19" t="n">
        <x:v>16.75</x:v>
      </x:c>
      <x:c r="F26" s="19" t="n">
        <x:f>MAX(D26-E26, 0)</x:f>
        <x:v>1</x:v>
      </x:c>
      <x:c r="G26" s="47" t="n">
        <x:f>IF(D26=0,0,ABS(E26/D26))</x:f>
        <x:v>0.5</x:v>
      </x:c>
      <x:c r="H26" s="52"/>
      <x:c r="I26" s="50"/>
      <x:c r="J26" s="50"/>
      <x:c r="K26" s="51"/>
      <x:c r="L26" s="19" t="n">
        <x:v>207.2</x:v>
      </x:c>
      <x:c r="M26" s="56"/>
      <x:c r="N26" s="50"/>
      <x:c r="O26" s="70"/>
      <x:c r="P26" s="29"/>
      <x:c r="Q26" s="30"/>
      <x:c r="R26" s="31"/>
      <x:c r="S26" s="31"/>
    </x:row>
    <x:row r="27" spans="1:19" s="7" customFormat="1" hidden="1" outlineLevel="2" collapsed="1" x14ac:dyDescent="0.2">
      <x:c r="A27" s="5"/>
      <x:c r="B27" s="45" t="inlineStr">
        <x:is>
          <x:t>J500</x:t>
        </x:is>
      </x:c>
      <x:c r="C27" s="46" t="inlineStr">
        <x:is>
          <x:t>Zdrojewska (Rosloniec), Karolina</x:t>
        </x:is>
      </x:c>
      <x:c r="D27" s="45" t="n">
        <x:v>25.2</x:v>
      </x:c>
      <x:c r="E27" s="19" t="n">
        <x:v>0.5</x:v>
      </x:c>
      <x:c r="F27" s="19" t="n">
        <x:f>MAX(D27-E27, 0)</x:f>
        <x:v>1</x:v>
      </x:c>
      <x:c r="G27" s="47" t="n">
        <x:f>IF(D27=0,0,ABS(E27/D27))</x:f>
        <x:v>0.5</x:v>
      </x:c>
      <x:c r="H27" s="72"/>
      <x:c r="I27" s="73"/>
      <x:c r="J27" s="73"/>
      <x:c r="K27" s="74"/>
      <x:c r="L27" s="19" t="n">
        <x:v>0</x:v>
      </x:c>
      <x:c r="M27" s="57"/>
      <x:c r="N27" s="54"/>
      <x:c r="O27" s="71"/>
      <x:c r="P27" s="29"/>
      <x:c r="Q27" s="30"/>
      <x:c r="R27" s="31"/>
      <x:c r="S27" s="31"/>
    </x:row>
    <x:row r="28" spans="1:19" s="7" customFormat="1" outlineLevel="1" x14ac:dyDescent="0.2">
      <x:c r="A28" s="5"/>
      <x:c r="B28" s="58" t="inlineStr">
        <x:v>49</x:v>
        <x:is>
          <x:t>Total J500</x:t>
        </x:is>
      </x:c>
      <x:c r="C28" s="59"/>
      <x:c r="D28" s="58" t="n">
        <x:v>100.2</x:v>
      </x:c>
      <x:c r="E28" s="60" t="n">
        <x:v>17.25</x:v>
      </x:c>
      <x:c r="F28" s="60" t="n">
        <x:f>MAX(D28-E28, 0)</x:f>
        <x:v>1</x:v>
      </x:c>
      <x:c r="G28" s="61" t="n">
        <x:f>IF(D28=0,0,ABS(E28/D28))</x:f>
        <x:v>0.5</x:v>
      </x:c>
      <x:c r="H28" s="58" t="n">
        <x:v>647.2</x:v>
      </x:c>
      <x:c r="I28" s="60" t="n">
        <x:v>713.75</x:v>
      </x:c>
      <x:c r="J28" s="62" t="n">
        <x:f>IF(H28=0,"No plan at start",I28/H28)</x:f>
        <x:v>2</x:v>
      </x:c>
      <x:c r="K28" s="60" t="n">
        <x:f>MAX(H28-I28, 0)</x:f>
        <x:v>0</x:v>
      </x:c>
      <x:c r="L28" s="60" t="n">
        <x:v>207.2</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N485</x:t>
        </x:is>
      </x:c>
      <x:c r="C29" s="46" t="inlineStr">
        <x:is>
          <x:t>Ostrowska, Katarzyna</x:t>
        </x:is>
      </x:c>
      <x:c r="D29" s="45" t="n">
        <x:v>0</x:v>
      </x:c>
      <x:c r="E29" s="19" t="n">
        <x:v>7</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N485</x:t>
        </x:is>
      </x:c>
      <x:c r="C30" s="46" t="inlineStr">
        <x:is>
          <x:t>Polarczyk, Marcin</x:t>
        </x:is>
      </x:c>
      <x:c r="D30" s="45" t="n">
        <x:v>0</x:v>
      </x:c>
      <x:c r="E30" s="19" t="n">
        <x:v>22.5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N485</x:t>
        </x:is>
      </x:c>
      <x:c r="C31" s="46" t="inlineStr">
        <x:is>
          <x:t>Zdrojewska (Rosloniec), Karolina</x:t>
        </x:is>
      </x:c>
      <x:c r="D31" s="45" t="n">
        <x:v>0</x:v>
      </x:c>
      <x:c r="E31" s="19" t="n">
        <x:v>8.25</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N485</x:t>
        </x:is>
      </x:c>
      <x:c r="C32" s="59"/>
      <x:c r="D32" s="58" t="n">
        <x:v>0</x:v>
      </x:c>
      <x:c r="E32" s="60" t="n">
        <x:v>37.75</x:v>
      </x:c>
      <x:c r="F32" s="60" t="n">
        <x:f>MAX(D32-E32, 0)</x:f>
        <x:v>1</x:v>
      </x:c>
      <x:c r="G32" s="61" t="n">
        <x:f>IF(D32=0,0,ABS(E32/D32))</x:f>
        <x:v>0.5</x:v>
      </x:c>
      <x:c r="H32" s="58" t="n">
        <x:v>0</x:v>
      </x:c>
      <x:c r="I32" s="60" t="n">
        <x:v>621.25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N694</x:t>
        </x:is>
      </x:c>
      <x:c r="C33" s="46" t="inlineStr">
        <x:is>
          <x:t>Ostrowska, Katarzyna</x:t>
        </x:is>
      </x:c>
      <x:c r="D33" s="45" t="n">
        <x:v>30.45</x:v>
      </x:c>
      <x:c r="E33" s="19" t="n">
        <x:v>0</x:v>
      </x:c>
      <x:c r="F33" s="19" t="n">
        <x:f>MAX(D33-E33, 0)</x:f>
        <x:v>1</x:v>
      </x:c>
      <x:c r="G33" s="47" t="n">
        <x:f>IF(D33=0,0,ABS(E33/D33))</x:f>
        <x:v>0.5</x:v>
      </x:c>
      <x:c r="H33" s="52"/>
      <x:c r="I33" s="50"/>
      <x:c r="J33" s="50"/>
      <x:c r="K33" s="51"/>
      <x:c r="L33" s="19" t="n">
        <x:v>803.98</x:v>
      </x:c>
      <x:c r="M33" s="56"/>
      <x:c r="N33" s="50"/>
      <x:c r="O33" s="70"/>
      <x:c r="P33" s="29"/>
      <x:c r="Q33" s="30"/>
      <x:c r="R33" s="31"/>
      <x:c r="S33" s="31"/>
    </x:row>
    <x:row r="34" spans="1:19" s="7" customFormat="1" outlineLevel="1" x14ac:dyDescent="0.2">
      <x:c r="A34" s="5"/>
      <x:c r="B34" s="58" t="inlineStr">
        <x:v>49</x:v>
        <x:is>
          <x:t>Total N694</x:t>
        </x:is>
      </x:c>
      <x:c r="C34" s="59"/>
      <x:c r="D34" s="58" t="n">
        <x:v>30.45</x:v>
      </x:c>
      <x:c r="E34" s="60" t="n">
        <x:v>0</x:v>
      </x:c>
      <x:c r="F34" s="60" t="n">
        <x:f>MAX(D34-E34, 0)</x:f>
        <x:v>1</x:v>
      </x:c>
      <x:c r="G34" s="61" t="n">
        <x:f>IF(D34=0,0,ABS(E34/D34))</x:f>
        <x:v>0.5</x:v>
      </x:c>
      <x:c r="H34" s="58" t="n">
        <x:v>0</x:v>
      </x:c>
      <x:c r="I34" s="60" t="n">
        <x:v>27</x:v>
      </x:c>
      <x:c r="J34" s="62" t="n">
        <x:f>IF(H34=0,"No plan at start",I34/H34)</x:f>
        <x:v>2</x:v>
      </x:c>
      <x:c r="K34" s="60" t="n">
        <x:f>MAX(H34-I34, 0)</x:f>
        <x:v>0</x:v>
      </x:c>
      <x:c r="L34" s="60" t="n">
        <x:v>803.98</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Ostrowska, Katarzyna</x:t>
        </x:is>
      </x:c>
      <x:c r="D35" s="45" t="n">
        <x:v>0</x:v>
      </x:c>
      <x:c r="E35" s="19" t="n">
        <x:v>15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Zdrojewska (Rosloniec), Karolina</x:t>
        </x:is>
      </x:c>
      <x:c r="D36" s="45" t="n">
        <x:v>0</x:v>
      </x:c>
      <x:c r="E36" s="19" t="n">
        <x:v>64.50</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ht="13.5" outlineLevel="1" thickBot="1" x14ac:dyDescent="0.25">
      <x:c r="A37" s="5"/>
      <x:c r="B37" s="63" t="inlineStr">
        <x:v>49</x:v>
        <x:is>
          <x:t>Total N706</x:t>
        </x:is>
      </x:c>
      <x:c r="C37" s="64"/>
      <x:c r="D37" s="63" t="n">
        <x:v>0</x:v>
      </x:c>
      <x:c r="E37" s="65" t="n">
        <x:v>79.50</x:v>
      </x:c>
      <x:c r="F37" s="65" t="n">
        <x:f>MAX(D37-E37, 0)</x:f>
        <x:v>0</x:v>
      </x:c>
      <x:c r="G37" s="66" t="n">
        <x:f>IF(D37=0,0,ABS(E37/D37))</x:f>
        <x:v>0</x:v>
      </x:c>
      <x:c r="H37" s="63" t="n">
        <x:v>0</x:v>
      </x:c>
      <x:c r="I37" s="65" t="n">
        <x:v>269.50</x:v>
      </x:c>
      <x:c r="J37" s="67" t="n">
        <x:f>IF(H37=0,"No plan at start",I37/H37)</x:f>
        <x:v>0.5</x:v>
      </x:c>
      <x:c r="K37" s="65" t="n">
        <x:f>MAX(H37-I37, 0)</x:f>
        <x:v>1</x:v>
      </x:c>
      <x:c r="L37" s="65" t="n">
        <x:v>0</x:v>
      </x:c>
      <x:c r="M37" s="65" t="n">
        <x:f>I37+L37</x:f>
        <x:v>6</x:v>
      </x:c>
      <x:c r="N37" s="65" t="n">
        <x:f>M37-H37</x:f>
        <x:v>4</x:v>
      </x:c>
      <x:c r="O37" s="66" t="n">
        <x:f>IF(H37=0,"No plan at start",M37/H37)</x:f>
        <x:v>3</x:v>
      </x:c>
      <x:c r="P37" s="29"/>
      <x:c r="Q37" s="30"/>
      <x:c r="R37" s="31"/>
      <x:c r="S37" s="31"/>
    </x:row>
    <x:row r="38" x14ac:dyDescent="0.2"/>
    <x:row r="39" x14ac:dyDescent="0.2"/>
    <x:row r="40" spans="1:19" x14ac:dyDescent="0.2">
      <x:c r="B40" s="14" t="s">
        <x:v>30</x:v>
      </x:c>
      <x:c r="C40" s="15"/>
      <x:c r="D40" s="15"/>
      <x:c r="E40" s="15"/>
      <x:c r="F40" s="16"/>
      <x:c r="G40" s="16"/>
      <x:c r="H40" s="17"/>
      <x:c r="I40" s="7"/>
      <x:c r="J40" s="7"/>
      <x:c r="K40" s="18"/>
      <x:c r="L40" s="7"/>
      <x:c r="M40" s="25"/>
      <x:c r="N40" s="7"/>
      <x:c r="O40" s="7"/>
    </x:row>
    <x:row r="41" spans="1:19" ht="13.5" thickBot="1" x14ac:dyDescent="0.25">
      <x:c r="B41" s="7"/>
      <x:c r="C41" s="7"/>
      <x:c r="D41" s="7"/>
      <x:c r="E41" s="7"/>
      <x:c r="F41" s="7"/>
      <x:c r="G41" s="7"/>
      <x:c r="H41" s="7"/>
      <x:c r="I41" s="7"/>
      <x:c r="J41" s="7"/>
      <x:c r="K41" s="7"/>
      <x:c r="L41" s="7"/>
      <x:c r="M41" s="7"/>
      <x:c r="N41" s="7"/>
      <x:c r="O41" s="7"/>
    </x:row>
    <x:row r="42" spans="1:19" x14ac:dyDescent="0.2">
      <x:c r="B42" s="48"/>
      <x:c r="C42" s="49"/>
      <x:c r="D42" s="77" t="s">
        <x:v>39</x:v>
      </x:c>
      <x:c r="E42" s="78"/>
      <x:c r="F42" s="78"/>
      <x:c r="G42" s="79"/>
      <x:c r="H42" s="77" t="s">
        <x:v>40</x:v>
      </x:c>
      <x:c r="I42" s="78"/>
      <x:c r="J42" s="78"/>
      <x:c r="K42" s="78"/>
      <x:c r="L42" s="78"/>
      <x:c r="M42" s="78"/>
      <x:c r="N42" s="78"/>
      <x:c r="O42" s="79"/>
    </x:row>
    <x:row r="43" spans="1:19" x14ac:dyDescent="0.2">
      <x:c r="B43" s="68"/>
      <x:c r="C43" s="69"/>
      <x:c r="D43" s="36" t="s">
        <x:v>2</x:v>
      </x:c>
      <x:c r="E43" s="38" t="s">
        <x:v>3</x:v>
      </x:c>
      <x:c r="F43" s="38" t="s">
        <x:v>44</x:v>
      </x:c>
      <x:c r="G43" s="37" t="s">
        <x:v>41</x:v>
      </x:c>
      <x:c r="H43" s="36" t="s">
        <x:v>20</x:v>
      </x:c>
      <x:c r="I43" s="38" t="s">
        <x:v>34</x:v>
      </x:c>
      <x:c r="J43" s="39" t="s">
        <x:v>35</x:v>
      </x:c>
      <x:c r="K43" s="39" t="s">
        <x:v>36</x:v>
      </x:c>
      <x:c r="L43" s="38" t="s">
        <x:v>19</x:v>
      </x:c>
      <x:c r="M43" s="38" t="s">
        <x:v>37</x:v>
      </x:c>
      <x:c r="N43" s="38" t="s">
        <x:v>22</x:v>
      </x:c>
      <x:c r="O43" s="37" t="s">
        <x:v>23</x:v>
      </x:c>
    </x:row>
    <x:row r="44" spans="1:19" ht="76.5" x14ac:dyDescent="0.2">
      <x:c r="B44" s="40" t="s">
        <x:v>14</x:v>
      </x:c>
      <x:c r="C44" s="41" t="s">
        <x:v>28</x:v>
      </x:c>
      <x:c r="D44" s="40" t="s">
        <x:v>45</x:v>
      </x:c>
      <x:c r="E44" s="42" t="s">
        <x:v>15</x:v>
      </x:c>
      <x:c r="F44" s="42" t="s">
        <x:v>42</x:v>
      </x:c>
      <x:c r="G44" s="41" t="s">
        <x:v>43</x:v>
      </x:c>
      <x:c r="H44" s="40" t="s">
        <x:v>46</x:v>
      </x:c>
      <x:c r="I44" s="42" t="s">
        <x:v>31</x:v>
      </x:c>
      <x:c r="J44" s="43" t="s">
        <x:v>47</x:v>
      </x:c>
      <x:c r="K44" s="43" t="s">
        <x:v>17</x:v>
      </x:c>
      <x:c r="L44" s="42" t="s">
        <x:v>48</x:v>
      </x:c>
      <x:c r="M44" s="42" t="s">
        <x:v>32</x:v>
      </x:c>
      <x:c r="N44" s="42" t="s">
        <x:v>33</x:v>
      </x:c>
      <x:c r="O44" s="41" t="s">
        <x:v>24</x:v>
      </x:c>
    </x:row>
    <x:row r="45" spans="1:19" hidden="1" outlineLevel="2" collapsed="1" x14ac:dyDescent="0.2">
      <x:c r="B45" s="45" t="inlineStr">
        <x:is>
          <x:t>D198</x:t>
        </x:is>
      </x:c>
      <x:c r="C45" s="46" t="inlineStr">
        <x:is>
          <x:t>Ostrowska, Katarzyna</x:t>
        </x:is>
      </x:c>
      <x:c r="D45" s="45" t="n">
        <x:v>0</x:v>
      </x:c>
      <x:c r="E45" s="19" t="n">
        <x:v>26</x:v>
      </x:c>
      <x:c r="F45" s="19" t="n">
        <x:f>MAX(D45-E45, 0)</x:f>
        <x:v>1</x:v>
      </x:c>
      <x:c r="G45" s="47" t="n">
        <x:f>IF(D45=0,0,ABS(E45/D45))</x:f>
        <x:v>0.5</x:v>
      </x:c>
      <x:c r="H45" s="52"/>
      <x:c r="I45" s="50"/>
      <x:c r="J45" s="50"/>
      <x:c r="K45" s="51"/>
      <x:c r="L45" s="19" t="n">
        <x:v>0</x:v>
      </x:c>
      <x:c r="M45" s="50"/>
      <x:c r="N45" s="50"/>
      <x:c r="O45" s="70"/>
    </x:row>
    <x:row r="46" spans="1:19" outlineLevel="1" x14ac:dyDescent="0.2">
      <x:c r="B46" s="58" t="inlineStr">
        <x:v>49</x:v>
        <x:is>
          <x:t>Total D198</x:t>
        </x:is>
      </x:c>
      <x:c r="C46" s="59"/>
      <x:c r="D46" s="58" t="n">
        <x:v>0</x:v>
      </x:c>
      <x:c r="E46" s="60" t="n">
        <x:v>26</x:v>
      </x:c>
      <x:c r="F46" s="60" t="n">
        <x:f>MAX(D46-E46, 0)</x:f>
        <x:v>1</x:v>
      </x:c>
      <x:c r="G46" s="61" t="n">
        <x:f>IF(D46=0,0,ABS(E46/D46))</x:f>
        <x:v>0.5</x:v>
      </x:c>
      <x:c r="H46" s="58" t="n">
        <x:v>0</x:v>
      </x:c>
      <x:c r="I46" s="60" t="n">
        <x:v>281565.2345</x:v>
      </x:c>
      <x:c r="J46" s="62" t="n">
        <x:f>IF(H46=0,"No plan at start",I46/H46)</x:f>
        <x:v>2</x:v>
      </x:c>
      <x:c r="K46" s="60" t="n">
        <x:f>MAX(H46-I46, 0)</x:f>
        <x:v>0</x:v>
      </x:c>
      <x:c r="L46" s="60" t="n">
        <x:v>0</x:v>
      </x:c>
      <x:c r="M46" s="60" t="n">
        <x:f>I46+L46</x:f>
        <x:v>3</x:v>
      </x:c>
      <x:c r="N46" s="60" t="n">
        <x:f>M46-H46</x:f>
        <x:v>2</x:v>
      </x:c>
      <x:c r="O46" s="61" t="n">
        <x:f>IF(H46=0,"No plan at start",M46/H46)</x:f>
        <x:v>3</x:v>
      </x:c>
    </x:row>
    <x:row r="47" spans="1:19" hidden="1" outlineLevel="2" collapsed="1" x14ac:dyDescent="0.2">
      <x:c r="B47" s="45" t="inlineStr">
        <x:is>
          <x:t>E872</x:t>
        </x:is>
      </x:c>
      <x:c r="C47" s="46" t="inlineStr">
        <x:is>
          <x:t>Polarczyk, Marcin</x:t>
        </x:is>
      </x:c>
      <x:c r="D47" s="45" t="n">
        <x:v>4368</x:v>
      </x:c>
      <x:c r="E47" s="19" t="n">
        <x:v>604.5</x:v>
      </x:c>
      <x:c r="F47" s="19" t="n">
        <x:f>MAX(D47-E47, 0)</x:f>
        <x:v>1</x:v>
      </x:c>
      <x:c r="G47" s="47" t="n">
        <x:f>IF(D47=0,0,ABS(E47/D47))</x:f>
        <x:v>0.5</x:v>
      </x:c>
      <x:c r="H47" s="52"/>
      <x:c r="I47" s="50"/>
      <x:c r="J47" s="50"/>
      <x:c r="K47" s="51"/>
      <x:c r="L47" s="19" t="n">
        <x:v>0</x:v>
      </x:c>
      <x:c r="M47" s="50"/>
      <x:c r="N47" s="50"/>
      <x:c r="O47" s="70"/>
    </x:row>
    <x:row r="48" spans="1:19" outlineLevel="1" x14ac:dyDescent="0.2">
      <x:c r="B48" s="58" t="inlineStr">
        <x:v>49</x:v>
        <x:is>
          <x:t>Total E872</x:t>
        </x:is>
      </x:c>
      <x:c r="C48" s="59"/>
      <x:c r="D48" s="58" t="n">
        <x:v>4368</x:v>
      </x:c>
      <x:c r="E48" s="60" t="n">
        <x:v>604.5</x:v>
      </x:c>
      <x:c r="F48" s="60" t="n">
        <x:f>MAX(D48-E48, 0)</x:f>
        <x:v>1</x:v>
      </x:c>
      <x:c r="G48" s="61" t="n">
        <x:f>IF(D48=0,0,ABS(E48/D48))</x:f>
        <x:v>0.5</x:v>
      </x:c>
      <x:c r="H48" s="58" t="n">
        <x:v>0</x:v>
      </x:c>
      <x:c r="I48" s="60" t="n">
        <x:v>6903.0</x:v>
      </x:c>
      <x:c r="J48" s="62" t="n">
        <x:f>IF(H48=0,"No plan at start",I48/H48)</x:f>
        <x:v>2</x:v>
      </x:c>
      <x:c r="K48" s="60" t="n">
        <x:f>MAX(H48-I48, 0)</x:f>
        <x:v>0</x:v>
      </x:c>
      <x:c r="L48" s="60" t="n">
        <x:v>0</x:v>
      </x:c>
      <x:c r="M48" s="60" t="n">
        <x:f>I48+L48</x:f>
        <x:v>3</x:v>
      </x:c>
      <x:c r="N48" s="60" t="n">
        <x:f>M48-H48</x:f>
        <x:v>2</x:v>
      </x:c>
      <x:c r="O48" s="61" t="n">
        <x:f>IF(H48=0,"No plan at start",M48/H48)</x:f>
        <x:v>3</x:v>
      </x:c>
    </x:row>
    <x:row r="49" spans="1:19" hidden="1" outlineLevel="2" collapsed="1" x14ac:dyDescent="0.2">
      <x:c r="B49" s="45" t="inlineStr">
        <x:is>
          <x:t>G429</x:t>
        </x:is>
      </x:c>
      <x:c r="C49" s="46" t="inlineStr">
        <x:is>
          <x:t>Ostrowska, Katarzyna</x:t>
        </x:is>
      </x:c>
      <x:c r="D49" s="45" t="n">
        <x:v>910</x:v>
      </x:c>
      <x:c r="E49" s="19" t="n">
        <x:v>962</x:v>
      </x:c>
      <x:c r="F49" s="19" t="n">
        <x:f>MAX(D49-E49, 0)</x:f>
        <x:v>1</x:v>
      </x:c>
      <x:c r="G49" s="47" t="n">
        <x:f>IF(D49=0,0,ABS(E49/D49))</x:f>
        <x:v>0.5</x:v>
      </x:c>
      <x:c r="H49" s="52"/>
      <x:c r="I49" s="50"/>
      <x:c r="J49" s="50"/>
      <x:c r="K49" s="51"/>
      <x:c r="L49" s="19" t="n">
        <x:v>17030</x:v>
      </x:c>
      <x:c r="M49" s="50"/>
      <x:c r="N49" s="50"/>
      <x:c r="O49" s="70"/>
    </x:row>
    <x:row r="50" spans="1:19" hidden="1" outlineLevel="2" collapsed="1" x14ac:dyDescent="0.2">
      <x:c r="B50" s="45" t="inlineStr">
        <x:is>
          <x:t>G429</x:t>
        </x:is>
      </x:c>
      <x:c r="C50" s="46" t="inlineStr">
        <x:is>
          <x:t>Zdrojewska (Rosloniec), Karolina</x:t>
        </x:is>
      </x:c>
      <x:c r="D50" s="45" t="n">
        <x:v>624</x:v>
      </x:c>
      <x:c r="E50" s="19" t="n">
        <x:v>169</x:v>
      </x:c>
      <x:c r="F50" s="19" t="n">
        <x:f>MAX(D50-E50, 0)</x:f>
        <x:v>1</x:v>
      </x:c>
      <x:c r="G50" s="47" t="n">
        <x:f>IF(D50=0,0,ABS(E50/D50))</x:f>
        <x:v>0.5</x:v>
      </x:c>
      <x:c r="H50" s="53"/>
      <x:c r="I50" s="54"/>
      <x:c r="J50" s="54"/>
      <x:c r="K50" s="55"/>
      <x:c r="L50" s="19" t="n">
        <x:v>8528</x:v>
      </x:c>
      <x:c r="M50" s="54"/>
      <x:c r="N50" s="54"/>
      <x:c r="O50" s="71"/>
    </x:row>
    <x:row r="51" spans="1:19" outlineLevel="1" x14ac:dyDescent="0.2">
      <x:c r="B51" s="58" t="inlineStr">
        <x:v>49</x:v>
        <x:is>
          <x:t>Total G429</x:t>
        </x:is>
      </x:c>
      <x:c r="C51" s="59"/>
      <x:c r="D51" s="58" t="n">
        <x:v>1534</x:v>
      </x:c>
      <x:c r="E51" s="60" t="n">
        <x:v>1131</x:v>
      </x:c>
      <x:c r="F51" s="60" t="n">
        <x:f>MAX(D51-E51, 0)</x:f>
        <x:v>1</x:v>
      </x:c>
      <x:c r="G51" s="61" t="n">
        <x:f>IF(D51=0,0,ABS(E51/D51))</x:f>
        <x:v>0.5</x:v>
      </x:c>
      <x:c r="H51" s="58" t="n">
        <x:v>68937.6</x:v>
      </x:c>
      <x:c r="I51" s="60" t="n">
        <x:v>198208.278</x:v>
      </x:c>
      <x:c r="J51" s="62" t="n">
        <x:f>IF(H51=0,"No plan at start",I51/H51)</x:f>
        <x:v>2</x:v>
      </x:c>
      <x:c r="K51" s="60" t="n">
        <x:f>MAX(H51-I51, 0)</x:f>
        <x:v>0</x:v>
      </x:c>
      <x:c r="L51" s="60" t="n">
        <x:v>25558</x:v>
      </x:c>
      <x:c r="M51" s="60" t="n">
        <x:f>I51+L51</x:f>
        <x:v>3</x:v>
      </x:c>
      <x:c r="N51" s="60" t="n">
        <x:f>M51-H51</x:f>
        <x:v>2</x:v>
      </x:c>
      <x:c r="O51" s="61" t="n">
        <x:f>IF(H51=0,"No plan at start",M51/H51)</x:f>
        <x:v>3</x:v>
      </x:c>
    </x:row>
    <x:row r="52" spans="1:19" hidden="1" outlineLevel="2" collapsed="1" x14ac:dyDescent="0.2">
      <x:c r="B52" s="45" t="inlineStr">
        <x:is>
          <x:t>H808</x:t>
        </x:is>
      </x:c>
      <x:c r="C52" s="46" t="inlineStr">
        <x:is>
          <x:t>Polarczyk, Marcin</x:t>
        </x:is>
      </x:c>
      <x:c r="D52" s="45" t="n">
        <x:v>0</x:v>
      </x:c>
      <x:c r="E52" s="19" t="n">
        <x:v>0</x:v>
      </x:c>
      <x:c r="F52" s="19" t="n">
        <x:f>MAX(D52-E52, 0)</x:f>
        <x:v>1</x:v>
      </x:c>
      <x:c r="G52" s="47" t="n">
        <x:f>IF(D52=0,0,ABS(E52/D52))</x:f>
        <x:v>0.5</x:v>
      </x:c>
      <x:c r="H52" s="52"/>
      <x:c r="I52" s="50"/>
      <x:c r="J52" s="50"/>
      <x:c r="K52" s="51"/>
      <x:c r="L52" s="19" t="n">
        <x:v>4472</x:v>
      </x:c>
      <x:c r="M52" s="50"/>
      <x:c r="N52" s="50"/>
      <x:c r="O52" s="70"/>
    </x:row>
    <x:row r="53" spans="1:19" outlineLevel="1" x14ac:dyDescent="0.2">
      <x:c r="B53" s="58" t="inlineStr">
        <x:v>49</x:v>
        <x:is>
          <x:t>Total H808</x:t>
        </x:is>
      </x:c>
      <x:c r="C53" s="59"/>
      <x:c r="D53" s="58" t="n">
        <x:v>0</x:v>
      </x:c>
      <x:c r="E53" s="60" t="n">
        <x:v>0</x:v>
      </x:c>
      <x:c r="F53" s="60" t="n">
        <x:f>MAX(D53-E53, 0)</x:f>
        <x:v>1</x:v>
      </x:c>
      <x:c r="G53" s="61" t="n">
        <x:f>IF(D53=0,0,ABS(E53/D53))</x:f>
        <x:v>0.5</x:v>
      </x:c>
      <x:c r="H53" s="58" t="n">
        <x:v>6739.2</x:v>
      </x:c>
      <x:c r="I53" s="60" t="n">
        <x:v>10816.0</x:v>
      </x:c>
      <x:c r="J53" s="62" t="n">
        <x:f>IF(H53=0,"No plan at start",I53/H53)</x:f>
        <x:v>2</x:v>
      </x:c>
      <x:c r="K53" s="60" t="n">
        <x:f>MAX(H53-I53, 0)</x:f>
        <x:v>0</x:v>
      </x:c>
      <x:c r="L53" s="60" t="n">
        <x:v>4472</x:v>
      </x:c>
      <x:c r="M53" s="60" t="n">
        <x:f>I53+L53</x:f>
        <x:v>3</x:v>
      </x:c>
      <x:c r="N53" s="60" t="n">
        <x:f>M53-H53</x:f>
        <x:v>2</x:v>
      </x:c>
      <x:c r="O53" s="61" t="n">
        <x:f>IF(H53=0,"No plan at start",M53/H53)</x:f>
        <x:v>3</x:v>
      </x:c>
    </x:row>
    <x:row r="54" spans="1:19" hidden="1" outlineLevel="2" collapsed="1" x14ac:dyDescent="0.2">
      <x:c r="B54" s="45" t="inlineStr">
        <x:is>
          <x:t>J500</x:t>
        </x:is>
      </x:c>
      <x:c r="C54" s="46" t="inlineStr">
        <x:is>
          <x:t>Polarczyk, Marcin</x:t>
        </x:is>
      </x:c>
      <x:c r="D54" s="45" t="n">
        <x:v>1950</x:v>
      </x:c>
      <x:c r="E54" s="19" t="n">
        <x:v>435.5</x:v>
      </x:c>
      <x:c r="F54" s="19" t="n">
        <x:f>MAX(D54-E54, 0)</x:f>
        <x:v>1</x:v>
      </x:c>
      <x:c r="G54" s="47" t="n">
        <x:f>IF(D54=0,0,ABS(E54/D54))</x:f>
        <x:v>0.5</x:v>
      </x:c>
      <x:c r="H54" s="52"/>
      <x:c r="I54" s="50"/>
      <x:c r="J54" s="50"/>
      <x:c r="K54" s="51"/>
      <x:c r="L54" s="19" t="n">
        <x:v>5387.2</x:v>
      </x:c>
      <x:c r="M54" s="50"/>
      <x:c r="N54" s="50"/>
      <x:c r="O54" s="70"/>
    </x:row>
    <x:row r="55" spans="1:19" hidden="1" outlineLevel="2" collapsed="1" x14ac:dyDescent="0.2">
      <x:c r="B55" s="45" t="inlineStr">
        <x:is>
          <x:t>J500</x:t>
        </x:is>
      </x:c>
      <x:c r="C55" s="46" t="inlineStr">
        <x:is>
          <x:t>Zdrojewska (Rosloniec), Karolina</x:t>
        </x:is>
      </x:c>
      <x:c r="D55" s="45" t="n">
        <x:v>655.2</x:v>
      </x:c>
      <x:c r="E55" s="19" t="n">
        <x:v>13</x:v>
      </x:c>
      <x:c r="F55" s="19" t="n">
        <x:f>MAX(D55-E55, 0)</x:f>
        <x:v>1</x:v>
      </x:c>
      <x:c r="G55" s="47" t="n">
        <x:f>IF(D55=0,0,ABS(E55/D55))</x:f>
        <x:v>0.5</x:v>
      </x:c>
      <x:c r="H55" s="53"/>
      <x:c r="I55" s="54"/>
      <x:c r="J55" s="54"/>
      <x:c r="K55" s="55"/>
      <x:c r="L55" s="19" t="n">
        <x:v>0</x:v>
      </x:c>
      <x:c r="M55" s="54"/>
      <x:c r="N55" s="54"/>
      <x:c r="O55" s="71"/>
    </x:row>
    <x:row r="56" spans="1:19" outlineLevel="1" x14ac:dyDescent="0.2">
      <x:c r="B56" s="58" t="inlineStr">
        <x:v>49</x:v>
        <x:is>
          <x:t>Total J500</x:t>
        </x:is>
      </x:c>
      <x:c r="C56" s="59"/>
      <x:c r="D56" s="58" t="n">
        <x:v>2605.2</x:v>
      </x:c>
      <x:c r="E56" s="60" t="n">
        <x:v>448.5</x:v>
      </x:c>
      <x:c r="F56" s="60" t="n">
        <x:f>MAX(D56-E56, 0)</x:f>
        <x:v>1</x:v>
      </x:c>
      <x:c r="G56" s="61" t="n">
        <x:f>IF(D56=0,0,ABS(E56/D56))</x:f>
        <x:v>0.5</x:v>
      </x:c>
      <x:c r="H56" s="58" t="n">
        <x:v>16827.2</x:v>
      </x:c>
      <x:c r="I56" s="60" t="n">
        <x:v>18576.22</x:v>
      </x:c>
      <x:c r="J56" s="62" t="n">
        <x:f>IF(H56=0,"No plan at start",I56/H56)</x:f>
        <x:v>2</x:v>
      </x:c>
      <x:c r="K56" s="60" t="n">
        <x:f>MAX(H56-I56, 0)</x:f>
        <x:v>0</x:v>
      </x:c>
      <x:c r="L56" s="60" t="n">
        <x:v>5387.2</x:v>
      </x:c>
      <x:c r="M56" s="60" t="n">
        <x:f>I56+L56</x:f>
        <x:v>3</x:v>
      </x:c>
      <x:c r="N56" s="60" t="n">
        <x:f>M56-H56</x:f>
        <x:v>2</x:v>
      </x:c>
      <x:c r="O56" s="61" t="n">
        <x:f>IF(H56=0,"No plan at start",M56/H56)</x:f>
        <x:v>3</x:v>
      </x:c>
    </x:row>
    <x:row r="57" spans="1:19" hidden="1" outlineLevel="2" collapsed="1" x14ac:dyDescent="0.2">
      <x:c r="B57" s="45" t="inlineStr">
        <x:is>
          <x:t>N485</x:t>
        </x:is>
      </x:c>
      <x:c r="C57" s="46" t="inlineStr">
        <x:is>
          <x:t>Ostrowska, Katarzyna</x:t>
        </x:is>
      </x:c>
      <x:c r="D57" s="45" t="n">
        <x:v>0</x:v>
      </x:c>
      <x:c r="E57" s="19" t="n">
        <x:v>182</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N485</x:t>
        </x:is>
      </x:c>
      <x:c r="C58" s="46" t="inlineStr">
        <x:is>
          <x:t>Polarczyk, Marcin</x:t>
        </x:is>
      </x:c>
      <x:c r="D58" s="45" t="n">
        <x:v>0</x:v>
      </x:c>
      <x:c r="E58" s="19" t="n">
        <x:v>585</x:v>
      </x:c>
      <x:c r="F58" s="19" t="n">
        <x:f>MAX(D58-E58, 0)</x:f>
        <x:v>1</x:v>
      </x:c>
      <x:c r="G58" s="47" t="n">
        <x:f>IF(D58=0,0,ABS(E58/D58))</x:f>
        <x:v>0.5</x:v>
      </x:c>
      <x:c r="H58" s="72"/>
      <x:c r="I58" s="73"/>
      <x:c r="J58" s="73"/>
      <x:c r="K58" s="74"/>
      <x:c r="L58" s="19" t="n">
        <x:v>0</x:v>
      </x:c>
      <x:c r="M58" s="73"/>
      <x:c r="N58" s="73"/>
      <x:c r="O58" s="76"/>
    </x:row>
    <x:row r="59" spans="1:19" hidden="1" outlineLevel="2" collapsed="1" x14ac:dyDescent="0.2">
      <x:c r="B59" s="45" t="inlineStr">
        <x:is>
          <x:t>N485</x:t>
        </x:is>
      </x:c>
      <x:c r="C59" s="46" t="inlineStr">
        <x:is>
          <x:t>Zdrojewska (Rosloniec), Karolina</x:t>
        </x:is>
      </x:c>
      <x:c r="D59" s="45" t="n">
        <x:v>0</x:v>
      </x:c>
      <x:c r="E59" s="19" t="n">
        <x:v>214.5</x:v>
      </x:c>
      <x:c r="F59" s="19" t="n">
        <x:f>MAX(D59-E59, 0)</x:f>
        <x:v>1</x:v>
      </x:c>
      <x:c r="G59" s="47" t="n">
        <x:f>IF(D59=0,0,ABS(E59/D59))</x:f>
        <x:v>0.5</x:v>
      </x:c>
      <x:c r="H59" s="53"/>
      <x:c r="I59" s="54"/>
      <x:c r="J59" s="54"/>
      <x:c r="K59" s="55"/>
      <x:c r="L59" s="19" t="n">
        <x:v>0</x:v>
      </x:c>
      <x:c r="M59" s="54"/>
      <x:c r="N59" s="54"/>
      <x:c r="O59" s="71"/>
    </x:row>
    <x:row r="60" spans="1:19" outlineLevel="1" x14ac:dyDescent="0.2">
      <x:c r="B60" s="58" t="inlineStr">
        <x:v>49</x:v>
        <x:is>
          <x:t>Total N485</x:t>
        </x:is>
      </x:c>
      <x:c r="C60" s="59"/>
      <x:c r="D60" s="58" t="n">
        <x:v>0</x:v>
      </x:c>
      <x:c r="E60" s="60" t="n">
        <x:v>981.5</x:v>
      </x:c>
      <x:c r="F60" s="60" t="n">
        <x:f>MAX(D60-E60, 0)</x:f>
        <x:v>1</x:v>
      </x:c>
      <x:c r="G60" s="61" t="n">
        <x:f>IF(D60=0,0,ABS(E60/D60))</x:f>
        <x:v>0.5</x:v>
      </x:c>
      <x:c r="H60" s="58" t="n">
        <x:v>2953.6</x:v>
      </x:c>
      <x:c r="I60" s="60" t="n">
        <x:v>16152.5</x:v>
      </x:c>
      <x:c r="J60" s="62" t="n">
        <x:f>IF(H60=0,"No plan at start",I60/H60)</x:f>
        <x:v>2</x:v>
      </x:c>
      <x:c r="K60" s="60" t="n">
        <x:f>MAX(H60-I60, 0)</x:f>
        <x:v>0</x:v>
      </x:c>
      <x:c r="L60" s="60" t="n">
        <x:v>0</x:v>
      </x:c>
      <x:c r="M60" s="60" t="n">
        <x:f>I60+L60</x:f>
        <x:v>3</x:v>
      </x:c>
      <x:c r="N60" s="60" t="n">
        <x:f>M60-H60</x:f>
        <x:v>2</x:v>
      </x:c>
      <x:c r="O60" s="61" t="n">
        <x:f>IF(H60=0,"No plan at start",M60/H60)</x:f>
        <x:v>3</x:v>
      </x:c>
    </x:row>
    <x:row r="61" spans="1:19" hidden="1" outlineLevel="2" collapsed="1" x14ac:dyDescent="0.2">
      <x:c r="B61" s="45" t="inlineStr">
        <x:is>
          <x:t>N694</x:t>
        </x:is>
      </x:c>
      <x:c r="C61" s="46" t="inlineStr">
        <x:is>
          <x:t>Ostrowska, Katarzyna</x:t>
        </x:is>
      </x:c>
      <x:c r="D61" s="45" t="n">
        <x:v>791.7</x:v>
      </x:c>
      <x:c r="E61" s="19" t="n">
        <x:v>0</x:v>
      </x:c>
      <x:c r="F61" s="19" t="n">
        <x:f>MAX(D61-E61, 0)</x:f>
        <x:v>1</x:v>
      </x:c>
      <x:c r="G61" s="47" t="n">
        <x:f>IF(D61=0,0,ABS(E61/D61))</x:f>
        <x:v>0.5</x:v>
      </x:c>
      <x:c r="H61" s="52"/>
      <x:c r="I61" s="50"/>
      <x:c r="J61" s="50"/>
      <x:c r="K61" s="51"/>
      <x:c r="L61" s="19" t="n">
        <x:v>20903.48</x:v>
      </x:c>
      <x:c r="M61" s="50"/>
      <x:c r="N61" s="50"/>
      <x:c r="O61" s="70"/>
    </x:row>
    <x:row r="62" spans="1:19" outlineLevel="1" x14ac:dyDescent="0.2">
      <x:c r="B62" s="58" t="inlineStr">
        <x:v>49</x:v>
        <x:is>
          <x:t>Total N694</x:t>
        </x:is>
      </x:c>
      <x:c r="C62" s="59"/>
      <x:c r="D62" s="58" t="n">
        <x:v>791.7</x:v>
      </x:c>
      <x:c r="E62" s="60" t="n">
        <x:v>0</x:v>
      </x:c>
      <x:c r="F62" s="60" t="n">
        <x:f>MAX(D62-E62, 0)</x:f>
        <x:v>1</x:v>
      </x:c>
      <x:c r="G62" s="61" t="n">
        <x:f>IF(D62=0,0,ABS(E62/D62))</x:f>
        <x:v>0.5</x:v>
      </x:c>
      <x:c r="H62" s="58" t="n">
        <x:v>22431.76</x:v>
      </x:c>
      <x:c r="I62" s="60" t="n">
        <x:v>702</x:v>
      </x:c>
      <x:c r="J62" s="62" t="n">
        <x:f>IF(H62=0,"No plan at start",I62/H62)</x:f>
        <x:v>2</x:v>
      </x:c>
      <x:c r="K62" s="60" t="n">
        <x:f>MAX(H62-I62, 0)</x:f>
        <x:v>0</x:v>
      </x:c>
      <x:c r="L62" s="60" t="n">
        <x:v>20903.48</x:v>
      </x:c>
      <x:c r="M62" s="60" t="n">
        <x:f>I62+L62</x:f>
        <x:v>3</x:v>
      </x:c>
      <x:c r="N62" s="60" t="n">
        <x:f>M62-H62</x:f>
        <x:v>2</x:v>
      </x:c>
      <x:c r="O62" s="61" t="n">
        <x:f>IF(H62=0,"No plan at start",M62/H62)</x:f>
        <x:v>3</x:v>
      </x:c>
    </x:row>
    <x:row r="63" spans="1:19" hidden="1" outlineLevel="2" collapsed="1" x14ac:dyDescent="0.2">
      <x:c r="B63" s="45" t="inlineStr">
        <x:is>
          <x:t>N706</x:t>
        </x:is>
      </x:c>
      <x:c r="C63" s="46" t="inlineStr">
        <x:is>
          <x:t>Ostrowska, Katarzyna</x:t>
        </x:is>
      </x:c>
      <x:c r="D63" s="45" t="n">
        <x:v>0</x:v>
      </x:c>
      <x:c r="E63" s="19" t="n">
        <x:v>390</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N706</x:t>
        </x:is>
      </x:c>
      <x:c r="C64" s="46" t="inlineStr">
        <x:is>
          <x:t>Zdrojewska (Rosloniec), Karolina</x:t>
        </x:is>
      </x:c>
      <x:c r="D64" s="45" t="n">
        <x:v>0</x:v>
      </x:c>
      <x:c r="E64" s="19" t="n">
        <x:v>1677.0</x:v>
      </x:c>
      <x:c r="F64" s="19" t="n">
        <x:f>MAX(D64-E64, 0)</x:f>
        <x:v>1</x:v>
      </x:c>
      <x:c r="G64" s="47" t="n">
        <x:f>IF(D64=0,0,ABS(E64/D64))</x:f>
        <x:v>0.5</x:v>
      </x:c>
      <x:c r="H64" s="53"/>
      <x:c r="I64" s="54"/>
      <x:c r="J64" s="54"/>
      <x:c r="K64" s="55"/>
      <x:c r="L64" s="19" t="n">
        <x:v>0</x:v>
      </x:c>
      <x:c r="M64" s="54"/>
      <x:c r="N64" s="54"/>
      <x:c r="O64" s="71"/>
    </x:row>
    <x:row r="65" spans="1:19" ht="13.5" outlineLevel="1" thickBot="1" x14ac:dyDescent="0.25">
      <x:c r="B65" s="63" t="inlineStr">
        <x:v>49</x:v>
        <x:is>
          <x:t>Total N706</x:t>
        </x:is>
      </x:c>
      <x:c r="C65" s="64"/>
      <x:c r="D65" s="63" t="n">
        <x:v>0</x:v>
      </x:c>
      <x:c r="E65" s="65" t="n">
        <x:v>2067.0</x:v>
      </x:c>
      <x:c r="F65" s="65" t="n">
        <x:f>MAX(D65-E65, 0)</x:f>
        <x:v>0</x:v>
      </x:c>
      <x:c r="G65" s="66" t="n">
        <x:f>IF(D65=0,0,ABS(E65/D65))</x:f>
        <x:v>4</x:v>
      </x:c>
      <x:c r="H65" s="63" t="n">
        <x:v>34507.2</x:v>
      </x:c>
      <x:c r="I65" s="65" t="n">
        <x:v>7007.0</x:v>
      </x:c>
      <x:c r="J65" s="67" t="n">
        <x:f>IF(H65=0,"No plan at start",I65/H65)</x:f>
        <x:v>0.5</x:v>
      </x:c>
      <x:c r="K65" s="65" t="n">
        <x:f>MAX(H65-I65, 0)</x:f>
        <x:v>1</x:v>
      </x:c>
      <x:c r="L65" s="65" t="n">
        <x:v>0</x:v>
      </x:c>
      <x:c r="M65" s="65" t="n">
        <x:f>I65+L65</x:f>
        <x:v>6</x:v>
      </x:c>
      <x:c r="N65" s="65" t="n">
        <x:f>M65-H65</x:f>
        <x:v>4</x:v>
      </x:c>
      <x:c r="O65" s="66" t="n">
        <x:f>IF(H65=0,"No plan at start",M65/H65)</x:f>
        <x:v>3</x:v>
      </x:c>
    </x:row>
    <x:row r="66" x14ac:dyDescent="0.2"/>
  </x:sheetData>
  <x:mergeCells count="9">
    <x:mergeCell ref="B2:C2"/>
    <x:mergeCell ref="F2:G2"/>
    <x:mergeCell ref="F4:G4"/>
    <x:mergeCell ref="F5:O7"/>
    <x:mergeCell ref="F8:M9"/>
    <x:mergeCell ref="D14:G14"/>
    <x:mergeCell ref="H14:O14"/>
    <x:mergeCell ref="D42:G42"/>
    <x:mergeCell ref="H42:O42"/>
  </x:mergeCells>
  <x:conditionalFormatting sqref="K18 N18 K20 N20 K23 N23 K25 N25 K28 N28 K32 N32 K34 N34 K37 N37 F17:F37 K46 N46 K48 N48 K51 N51 K53 N53 K56 N56 K60 N60 K62 N62 K65 N65 F45:F65">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