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<sst xmlns="http://schemas.openxmlformats.org/spreadsheetml/2006/main" count="79" uniqueCount="50">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</sst>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Site Supervision</x:t>
        </x:is>
      </x:c>
      <x:c r="D4" s="27"/>
      <x:c r="E4" s="6"/>
      <x:c r="F4" s="84" t="s">
        <x:v>4</x:v>
      </x:c>
      <x:c r="G4" s="85"/>
      <x:c r="N4" s="6"/>
    </x:row>
    <x:row r="5" spans="1:16" s="7" customFormat="1" ht="33.75" customHeight="1" thickBot="1" x14ac:dyDescent="0.25">
      <x:c r="A5" s="5"/>
      <x:c r="B5" s="9" t="s">
        <x:v>0</x:v>
      </x:c>
      <x:c r="C5" s="10" t="inlineStr">
        <x:v>29</x:v>
        <x:is>
          <x:t>Site Supervision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Katowice Office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Joanna Madey</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Andrzej Sudomir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D889</x:t>
        </x:is>
      </x:c>
      <x:c r="C17" s="46" t="inlineStr">
        <x:is>
          <x:t>Andrzejak, Katarzyna</x:t>
        </x:is>
      </x:c>
      <x:c r="D17" s="45" t="n">
        <x:v>70.57</x:v>
      </x:c>
      <x:c r="E17" s="19" t="n">
        <x:v>40.5</x:v>
      </x:c>
      <x:c r="F17" s="19" t="n">
        <x:f>MAX(D17-E17, 0)</x:f>
        <x:v>1</x:v>
      </x:c>
      <x:c r="G17" s="47" t="n">
        <x:f>IF(D17=0,0,ABS(E17/D17))</x:f>
        <x:v>0.5</x:v>
      </x:c>
      <x:c r="H17" s="52"/>
      <x:c r="I17" s="50"/>
      <x:c r="J17" s="50"/>
      <x:c r="K17" s="51"/>
      <x:c r="L17" s="19" t="n">
        <x:v>644.8</x:v>
      </x:c>
      <x:c r="M17" s="56"/>
      <x:c r="N17" s="50"/>
      <x:c r="O17" s="70"/>
      <x:c r="P17" s="29"/>
      <x:c r="Q17" s="30"/>
      <x:c r="R17" s="31"/>
      <x:c r="S17" s="31"/>
    </x:row>
    <x:row r="18" spans="1:19" s="7" customFormat="1" outlineLevel="1" x14ac:dyDescent="0.2">
      <x:c r="A18" s="5"/>
      <x:c r="B18" s="58" t="inlineStr">
        <x:v>49</x:v>
        <x:is>
          <x:t>Total D889</x:t>
        </x:is>
      </x:c>
      <x:c r="C18" s="59"/>
      <x:c r="D18" s="58" t="n">
        <x:v>70.57</x:v>
      </x:c>
      <x:c r="E18" s="60" t="n">
        <x:v>40.5</x:v>
      </x:c>
      <x:c r="F18" s="60" t="n">
        <x:f>MAX(D18-E18, 0)</x:f>
        <x:v>1</x:v>
      </x:c>
      <x:c r="G18" s="61" t="n">
        <x:f>IF(D18=0,0,ABS(E18/D18))</x:f>
        <x:v>0.5</x:v>
      </x:c>
      <x:c r="H18" s="58" t="n">
        <x:v>0</x:v>
      </x:c>
      <x:c r="I18" s="60" t="n">
        <x:v>4587.75</x:v>
      </x:c>
      <x:c r="J18" s="62" t="n">
        <x:f>IF(H18=0,"No plan at start",I18/H18)</x:f>
        <x:v>2</x:v>
      </x:c>
      <x:c r="K18" s="60" t="n">
        <x:f>MAX(H18-I18, 0)</x:f>
        <x:v>0</x:v>
      </x:c>
      <x:c r="L18" s="60" t="n">
        <x:v>644.8</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E556</x:t>
        </x:is>
      </x:c>
      <x:c r="C19" s="46" t="inlineStr">
        <x:is>
          <x:t>Andrzejak, Katarzyna</x:t>
        </x:is>
      </x:c>
      <x:c r="D19" s="45" t="n">
        <x:v>38.18</x:v>
      </x:c>
      <x:c r="E19" s="19" t="n">
        <x:v>0</x:v>
      </x:c>
      <x:c r="F19" s="19" t="n">
        <x:f>MAX(D19-E19, 0)</x:f>
        <x:v>1</x:v>
      </x:c>
      <x:c r="G19" s="47" t="n">
        <x:f>IF(D19=0,0,ABS(E19/D19))</x:f>
        <x:v>0.5</x:v>
      </x:c>
      <x:c r="H19" s="52"/>
      <x:c r="I19" s="50"/>
      <x:c r="J19" s="50"/>
      <x:c r="K19" s="51"/>
      <x:c r="L19" s="19" t="n">
        <x:v>75</x:v>
      </x:c>
      <x:c r="M19" s="56"/>
      <x:c r="N19" s="50"/>
      <x:c r="O19" s="70"/>
      <x:c r="P19" s="29"/>
      <x:c r="Q19" s="30"/>
      <x:c r="R19" s="31"/>
      <x:c r="S19" s="31"/>
    </x:row>
    <x:row r="20" spans="1:19" s="7" customFormat="1" hidden="1" outlineLevel="2" collapsed="1" x14ac:dyDescent="0.2">
      <x:c r="A20" s="5"/>
      <x:c r="B20" s="45" t="inlineStr">
        <x:is>
          <x:t>E556</x:t>
        </x:is>
      </x:c>
      <x:c r="C20" s="46" t="inlineStr">
        <x:is>
          <x:t>Madey, Joanna</x:t>
        </x:is>
      </x:c>
      <x:c r="D20" s="45" t="n">
        <x:v>84</x:v>
      </x:c>
      <x:c r="E20" s="19" t="n">
        <x:v>64</x:v>
      </x:c>
      <x:c r="F20" s="19" t="n">
        <x:f>MAX(D20-E20, 0)</x:f>
        <x:v>1</x:v>
      </x:c>
      <x:c r="G20" s="47" t="n">
        <x:f>IF(D20=0,0,ABS(E20/D20))</x:f>
        <x:v>0.5</x:v>
      </x:c>
      <x:c r="H20" s="72"/>
      <x:c r="I20" s="73"/>
      <x:c r="J20" s="73"/>
      <x:c r="K20" s="74"/>
      <x:c r="L20" s="19" t="n">
        <x:v>92</x:v>
      </x:c>
      <x:c r="M20" s="75"/>
      <x:c r="N20" s="73"/>
      <x:c r="O20" s="76"/>
      <x:c r="P20" s="29"/>
      <x:c r="Q20" s="30"/>
      <x:c r="R20" s="31"/>
      <x:c r="S20" s="31"/>
    </x:row>
    <x:row r="21" spans="1:19" s="7" customFormat="1" hidden="1" outlineLevel="2" collapsed="1" x14ac:dyDescent="0.2">
      <x:c r="A21" s="5"/>
      <x:c r="B21" s="45" t="inlineStr">
        <x:is>
          <x:t>E556</x:t>
        </x:is>
      </x:c>
      <x:c r="C21" s="46" t="inlineStr">
        <x:is>
          <x:t>Pisarek, Malgorzata</x:t>
        </x:is>
      </x:c>
      <x:c r="D21" s="45" t="n">
        <x:v>125.1</x:v>
      </x:c>
      <x:c r="E21" s="19" t="n">
        <x:v>45</x:v>
      </x:c>
      <x:c r="F21" s="19" t="n">
        <x:f>MAX(D21-E21, 0)</x:f>
        <x:v>1</x:v>
      </x:c>
      <x:c r="G21" s="47" t="n">
        <x:f>IF(D21=0,0,ABS(E21/D21))</x:f>
        <x:v>0.5</x:v>
      </x:c>
      <x:c r="H21" s="72"/>
      <x:c r="I21" s="73"/>
      <x:c r="J21" s="73"/>
      <x:c r="K21" s="74"/>
      <x:c r="L21" s="19" t="n">
        <x:v>201</x:v>
      </x:c>
      <x:c r="M21" s="75"/>
      <x:c r="N21" s="73"/>
      <x:c r="O21" s="76"/>
      <x:c r="P21" s="29"/>
      <x:c r="Q21" s="30"/>
      <x:c r="R21" s="31"/>
      <x:c r="S21" s="31"/>
    </x:row>
    <x:row r="22" spans="1:19" s="7" customFormat="1" hidden="1" outlineLevel="2" collapsed="1" x14ac:dyDescent="0.2">
      <x:c r="A22" s="5"/>
      <x:c r="B22" s="45" t="inlineStr">
        <x:is>
          <x:t>E556</x:t>
        </x:is>
      </x:c>
      <x:c r="C22" s="46" t="inlineStr">
        <x:is>
          <x:t>Szymik-Gralewska, Jolanta</x:t>
        </x:is>
      </x:c>
      <x:c r="D22" s="45" t="n">
        <x:v>33.6</x:v>
      </x:c>
      <x:c r="E22" s="19" t="n">
        <x:v>23.5</x:v>
      </x:c>
      <x:c r="F22" s="19" t="n">
        <x:f>MAX(D22-E22, 0)</x:f>
        <x:v>1</x:v>
      </x:c>
      <x:c r="G22" s="47" t="n">
        <x:f>IF(D22=0,0,ABS(E22/D22))</x:f>
        <x:v>0.5</x:v>
      </x:c>
      <x:c r="H22" s="72"/>
      <x:c r="I22" s="73"/>
      <x:c r="J22" s="73"/>
      <x:c r="K22" s="74"/>
      <x:c r="L22" s="19" t="n">
        <x:v>16.8</x:v>
      </x:c>
      <x:c r="M22" s="57"/>
      <x:c r="N22" s="54"/>
      <x:c r="O22" s="71"/>
      <x:c r="P22" s="29"/>
      <x:c r="Q22" s="30"/>
      <x:c r="R22" s="31"/>
      <x:c r="S22" s="31"/>
    </x:row>
    <x:row r="23" spans="1:19" s="7" customFormat="1" outlineLevel="1" x14ac:dyDescent="0.2">
      <x:c r="A23" s="5"/>
      <x:c r="B23" s="58" t="inlineStr">
        <x:v>49</x:v>
        <x:is>
          <x:t>Total E556</x:t>
        </x:is>
      </x:c>
      <x:c r="C23" s="59"/>
      <x:c r="D23" s="58" t="n">
        <x:v>280.88</x:v>
      </x:c>
      <x:c r="E23" s="60" t="n">
        <x:v>132.5</x:v>
      </x:c>
      <x:c r="F23" s="60" t="n">
        <x:f>MAX(D23-E23, 0)</x:f>
        <x:v>1</x:v>
      </x:c>
      <x:c r="G23" s="61" t="n">
        <x:f>IF(D23=0,0,ABS(E23/D23))</x:f>
        <x:v>0.5</x:v>
      </x:c>
      <x:c r="H23" s="58" t="n">
        <x:v>0</x:v>
      </x:c>
      <x:c r="I23" s="60" t="n">
        <x:v>13919.25</x:v>
      </x:c>
      <x:c r="J23" s="62" t="n">
        <x:f>IF(H23=0,"No plan at start",I23/H23)</x:f>
        <x:v>2</x:v>
      </x:c>
      <x:c r="K23" s="60" t="n">
        <x:f>MAX(H23-I23, 0)</x:f>
        <x:v>0</x:v>
      </x:c>
      <x:c r="L23" s="60" t="n">
        <x:v>384.8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E872</x:t>
        </x:is>
      </x:c>
      <x:c r="C24" s="46" t="inlineStr">
        <x:is>
          <x:t>Szymik-Gralewska, Jolanta</x:t>
        </x:is>
      </x:c>
      <x:c r="D24" s="45" t="n">
        <x:v>33.6</x:v>
      </x:c>
      <x:c r="E24" s="19" t="n">
        <x:v>0</x:v>
      </x:c>
      <x:c r="F24" s="19" t="n">
        <x:f>MAX(D24-E24, 0)</x:f>
        <x:v>1</x:v>
      </x:c>
      <x:c r="G24" s="47" t="n">
        <x:f>IF(D24=0,0,ABS(E24/D24))</x:f>
        <x:v>0.5</x:v>
      </x:c>
      <x:c r="H24" s="52"/>
      <x:c r="I24" s="50"/>
      <x:c r="J24" s="50"/>
      <x:c r="K24" s="51"/>
      <x:c r="L24" s="19" t="n">
        <x:v>322.4</x:v>
      </x:c>
      <x:c r="M24" s="56"/>
      <x:c r="N24" s="50"/>
      <x:c r="O24" s="70"/>
      <x:c r="P24" s="29"/>
      <x:c r="Q24" s="30"/>
      <x:c r="R24" s="31"/>
      <x:c r="S24" s="31"/>
    </x:row>
    <x:row r="25" spans="1:19" s="7" customFormat="1" outlineLevel="1" x14ac:dyDescent="0.2">
      <x:c r="A25" s="5"/>
      <x:c r="B25" s="58" t="inlineStr">
        <x:v>49</x:v>
        <x:is>
          <x:t>Total E872</x:t>
        </x:is>
      </x:c>
      <x:c r="C25" s="59"/>
      <x:c r="D25" s="58" t="n">
        <x:v>33.6</x:v>
      </x:c>
      <x:c r="E25" s="60" t="n">
        <x:v>0</x:v>
      </x:c>
      <x:c r="F25" s="60" t="n">
        <x:f>MAX(D25-E25, 0)</x:f>
        <x:v>1</x:v>
      </x:c>
      <x:c r="G25" s="61" t="n">
        <x:f>IF(D25=0,0,ABS(E25/D25))</x:f>
        <x:v>0.5</x:v>
      </x:c>
      <x:c r="H25" s="58" t="n">
        <x:v>0</x:v>
      </x:c>
      <x:c r="I25" s="60" t="n">
        <x:v>1154.75</x:v>
      </x:c>
      <x:c r="J25" s="62" t="n">
        <x:f>IF(H25=0,"No plan at start",I25/H25)</x:f>
        <x:v>2</x:v>
      </x:c>
      <x:c r="K25" s="60" t="n">
        <x:f>MAX(H25-I25, 0)</x:f>
        <x:v>0</x:v>
      </x:c>
      <x:c r="L25" s="60" t="n">
        <x:v>322.4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G492</x:t>
        </x:is>
      </x:c>
      <x:c r="C26" s="46" t="inlineStr">
        <x:is>
          <x:t>Andrzejak, Katarzyna</x:t>
        </x:is>
      </x:c>
      <x:c r="D26" s="45" t="n">
        <x:v>0</x:v>
      </x:c>
      <x:c r="E26" s="19" t="n">
        <x:v>0</x:v>
      </x:c>
      <x:c r="F26" s="19" t="n">
        <x:f>MAX(D26-E26, 0)</x:f>
        <x:v>1</x:v>
      </x:c>
      <x:c r="G26" s="47" t="n">
        <x:f>IF(D26=0,0,ABS(E26/D26))</x:f>
        <x:v>0.5</x:v>
      </x:c>
      <x:c r="H26" s="52"/>
      <x:c r="I26" s="50"/>
      <x:c r="J26" s="50"/>
      <x:c r="K26" s="51"/>
      <x:c r="L26" s="19" t="n">
        <x:v>44</x:v>
      </x:c>
      <x:c r="M26" s="56"/>
      <x:c r="N26" s="50"/>
      <x:c r="O26" s="70"/>
      <x:c r="P26" s="29"/>
      <x:c r="Q26" s="30"/>
      <x:c r="R26" s="31"/>
      <x:c r="S26" s="31"/>
    </x:row>
    <x:row r="27" spans="1:19" s="7" customFormat="1" outlineLevel="1" x14ac:dyDescent="0.2">
      <x:c r="A27" s="5"/>
      <x:c r="B27" s="58" t="inlineStr">
        <x:v>49</x:v>
        <x:is>
          <x:t>Total G492</x:t>
        </x:is>
      </x:c>
      <x:c r="C27" s="59"/>
      <x:c r="D27" s="58" t="n">
        <x:v>0</x:v>
      </x:c>
      <x:c r="E27" s="60" t="n">
        <x:v>0</x:v>
      </x:c>
      <x:c r="F27" s="60" t="n">
        <x:f>MAX(D27-E27, 0)</x:f>
        <x:v>1</x:v>
      </x:c>
      <x:c r="G27" s="61" t="n">
        <x:f>IF(D27=0,0,ABS(E27/D27))</x:f>
        <x:v>0.5</x:v>
      </x:c>
      <x:c r="H27" s="58" t="n">
        <x:v>0</x:v>
      </x:c>
      <x:c r="I27" s="60" t="n">
        <x:v>758.5</x:v>
      </x:c>
      <x:c r="J27" s="62" t="n">
        <x:f>IF(H27=0,"No plan at start",I27/H27)</x:f>
        <x:v>2</x:v>
      </x:c>
      <x:c r="K27" s="60" t="n">
        <x:f>MAX(H27-I27, 0)</x:f>
        <x:v>0</x:v>
      </x:c>
      <x:c r="L27" s="60" t="n">
        <x:v>44</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G493</x:t>
        </x:is>
      </x:c>
      <x:c r="C28" s="46" t="inlineStr">
        <x:is>
          <x:t>Andrzejak, Katarzyna</x:t>
        </x:is>
      </x:c>
      <x:c r="D28" s="45" t="n">
        <x:v>8</x:v>
      </x:c>
      <x:c r="E28" s="19" t="n">
        <x:v>0</x:v>
      </x:c>
      <x:c r="F28" s="19" t="n">
        <x:f>MAX(D28-E28, 0)</x:f>
        <x:v>1</x:v>
      </x:c>
      <x:c r="G28" s="47" t="n">
        <x:f>IF(D28=0,0,ABS(E28/D28))</x:f>
        <x:v>0.5</x:v>
      </x:c>
      <x:c r="H28" s="52"/>
      <x:c r="I28" s="50"/>
      <x:c r="J28" s="50"/>
      <x:c r="K28" s="51"/>
      <x:c r="L28" s="19" t="n">
        <x:v>36</x:v>
      </x:c>
      <x:c r="M28" s="56"/>
      <x:c r="N28" s="50"/>
      <x:c r="O28" s="70"/>
      <x:c r="P28" s="29"/>
      <x:c r="Q28" s="30"/>
      <x:c r="R28" s="31"/>
      <x:c r="S28" s="31"/>
    </x:row>
    <x:row r="29" spans="1:19" s="7" customFormat="1" outlineLevel="1" x14ac:dyDescent="0.2">
      <x:c r="A29" s="5"/>
      <x:c r="B29" s="58" t="inlineStr">
        <x:v>49</x:v>
        <x:is>
          <x:t>Total G493</x:t>
        </x:is>
      </x:c>
      <x:c r="C29" s="59"/>
      <x:c r="D29" s="58" t="n">
        <x:v>8</x:v>
      </x:c>
      <x:c r="E29" s="60" t="n">
        <x:v>0</x:v>
      </x:c>
      <x:c r="F29" s="60" t="n">
        <x:f>MAX(D29-E29, 0)</x:f>
        <x:v>1</x:v>
      </x:c>
      <x:c r="G29" s="61" t="n">
        <x:f>IF(D29=0,0,ABS(E29/D29))</x:f>
        <x:v>0.5</x:v>
      </x:c>
      <x:c r="H29" s="58" t="n">
        <x:v>0</x:v>
      </x:c>
      <x:c r="I29" s="60" t="n">
        <x:v>539.0</x:v>
      </x:c>
      <x:c r="J29" s="62" t="n">
        <x:f>IF(H29=0,"No plan at start",I29/H29)</x:f>
        <x:v>2</x:v>
      </x:c>
      <x:c r="K29" s="60" t="n">
        <x:f>MAX(H29-I29, 0)</x:f>
        <x:v>0</x:v>
      </x:c>
      <x:c r="L29" s="60" t="n">
        <x:v>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K325</x:t>
        </x:is>
      </x:c>
      <x:c r="C30" s="46" t="inlineStr">
        <x:is>
          <x:t>Andrzejak, Katarzyna</x:t>
        </x:is>
      </x:c>
      <x:c r="D30" s="45" t="n">
        <x:v>0</x:v>
      </x:c>
      <x:c r="E30" s="19" t="n">
        <x:v>1</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K325</x:t>
        </x:is>
      </x:c>
      <x:c r="C31" s="59"/>
      <x:c r="D31" s="58" t="n">
        <x:v>0</x:v>
      </x:c>
      <x:c r="E31" s="60" t="n">
        <x:v>1</x:v>
      </x:c>
      <x:c r="F31" s="60" t="n">
        <x:f>MAX(D31-E31, 0)</x:f>
        <x:v>1</x:v>
      </x:c>
      <x:c r="G31" s="61" t="n">
        <x:f>IF(D31=0,0,ABS(E31/D31))</x:f>
        <x:v>0.5</x:v>
      </x:c>
      <x:c r="H31" s="58" t="n">
        <x:v>0</x:v>
      </x:c>
      <x:c r="I31" s="60" t="n">
        <x:v>20.75</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K392</x:t>
        </x:is>
      </x:c>
      <x:c r="C32" s="46" t="inlineStr">
        <x:is>
          <x:t>Andrzejak, Katarzyna</x:t>
        </x:is>
      </x:c>
      <x:c r="D32" s="45" t="n">
        <x:v>0</x:v>
      </x:c>
      <x:c r="E32" s="19" t="n">
        <x:v>0</x:v>
      </x:c>
      <x:c r="F32" s="19" t="n">
        <x:f>MAX(D32-E32, 0)</x:f>
        <x:v>1</x:v>
      </x:c>
      <x:c r="G32" s="47" t="n">
        <x:f>IF(D32=0,0,ABS(E32/D32))</x:f>
        <x:v>0.5</x:v>
      </x:c>
      <x:c r="H32" s="52"/>
      <x:c r="I32" s="50"/>
      <x:c r="J32" s="50"/>
      <x:c r="K32" s="51"/>
      <x:c r="L32" s="19" t="n">
        <x:v>52.0</x:v>
      </x:c>
      <x:c r="M32" s="56"/>
      <x:c r="N32" s="50"/>
      <x:c r="O32" s="70"/>
      <x:c r="P32" s="29"/>
      <x:c r="Q32" s="30"/>
      <x:c r="R32" s="31"/>
      <x:c r="S32" s="31"/>
    </x:row>
    <x:row r="33" spans="1:19" s="7" customFormat="1" hidden="1" outlineLevel="2" collapsed="1" x14ac:dyDescent="0.2">
      <x:c r="A33" s="5"/>
      <x:c r="B33" s="45" t="inlineStr">
        <x:is>
          <x:t>K392</x:t>
        </x:is>
      </x:c>
      <x:c r="C33" s="46" t="inlineStr">
        <x:is>
          <x:t>Madey, Joanna</x:t>
        </x:is>
      </x:c>
      <x:c r="D33" s="45" t="n">
        <x:v>58.8</x:v>
      </x:c>
      <x:c r="E33" s="19" t="n">
        <x:v>2</x:v>
      </x:c>
      <x:c r="F33" s="19" t="n">
        <x:f>MAX(D33-E33, 0)</x:f>
        <x:v>1</x:v>
      </x:c>
      <x:c r="G33" s="47" t="n">
        <x:f>IF(D33=0,0,ABS(E33/D33))</x:f>
        <x:v>0.5</x:v>
      </x:c>
      <x:c r="H33" s="72"/>
      <x:c r="I33" s="73"/>
      <x:c r="J33" s="73"/>
      <x:c r="K33" s="74"/>
      <x:c r="L33" s="19" t="n">
        <x:v>1721.81</x:v>
      </x:c>
      <x:c r="M33" s="75"/>
      <x:c r="N33" s="73"/>
      <x:c r="O33" s="76"/>
      <x:c r="P33" s="29"/>
      <x:c r="Q33" s="30"/>
      <x:c r="R33" s="31"/>
      <x:c r="S33" s="31"/>
    </x:row>
    <x:row r="34" spans="1:19" s="7" customFormat="1" hidden="1" outlineLevel="2" collapsed="1" x14ac:dyDescent="0.2">
      <x:c r="A34" s="5"/>
      <x:c r="B34" s="45" t="inlineStr">
        <x:is>
          <x:t>K392</x:t>
        </x:is>
      </x:c>
      <x:c r="C34" s="46" t="inlineStr">
        <x:is>
          <x:t>Pisarek, Malgorzata</x:t>
        </x:is>
      </x:c>
      <x:c r="D34" s="45" t="n">
        <x:v>5</x:v>
      </x:c>
      <x:c r="E34" s="19" t="n">
        <x:v>0</x:v>
      </x:c>
      <x:c r="F34" s="19" t="n">
        <x:f>MAX(D34-E34, 0)</x:f>
        <x:v>1</x:v>
      </x:c>
      <x:c r="G34" s="47" t="n">
        <x:f>IF(D34=0,0,ABS(E34/D34))</x:f>
        <x:v>0.5</x:v>
      </x:c>
      <x:c r="H34" s="72"/>
      <x:c r="I34" s="73"/>
      <x:c r="J34" s="73"/>
      <x:c r="K34" s="74"/>
      <x:c r="L34" s="19" t="n">
        <x:v>302.84</x:v>
      </x:c>
      <x:c r="M34" s="75"/>
      <x:c r="N34" s="73"/>
      <x:c r="O34" s="76"/>
      <x:c r="P34" s="29"/>
      <x:c r="Q34" s="30"/>
      <x:c r="R34" s="31"/>
      <x:c r="S34" s="31"/>
    </x:row>
    <x:row r="35" spans="1:19" s="7" customFormat="1" hidden="1" outlineLevel="2" collapsed="1" x14ac:dyDescent="0.2">
      <x:c r="A35" s="5"/>
      <x:c r="B35" s="45" t="inlineStr">
        <x:is>
          <x:t>K392</x:t>
        </x:is>
      </x:c>
      <x:c r="C35" s="46" t="inlineStr">
        <x:is>
          <x:t>Szymik-Gralewska, Jolanta</x:t>
        </x:is>
      </x:c>
      <x:c r="D35" s="45" t="n">
        <x:v>100.8</x:v>
      </x:c>
      <x:c r="E35" s="19" t="n">
        <x:v>48.5</x:v>
      </x:c>
      <x:c r="F35" s="19" t="n">
        <x:f>MAX(D35-E35, 0)</x:f>
        <x:v>1</x:v>
      </x:c>
      <x:c r="G35" s="47" t="n">
        <x:f>IF(D35=0,0,ABS(E35/D35))</x:f>
        <x:v>0.5</x:v>
      </x:c>
      <x:c r="H35" s="72"/>
      <x:c r="I35" s="73"/>
      <x:c r="J35" s="73"/>
      <x:c r="K35" s="74"/>
      <x:c r="L35" s="19" t="n">
        <x:v>1310.31</x:v>
      </x:c>
      <x:c r="M35" s="57"/>
      <x:c r="N35" s="54"/>
      <x:c r="O35" s="71"/>
      <x:c r="P35" s="29"/>
      <x:c r="Q35" s="30"/>
      <x:c r="R35" s="31"/>
      <x:c r="S35" s="31"/>
    </x:row>
    <x:row r="36" spans="1:19" s="7" customFormat="1" ht="13.5" outlineLevel="1" thickBot="1" x14ac:dyDescent="0.25">
      <x:c r="A36" s="5"/>
      <x:c r="B36" s="63" t="inlineStr">
        <x:v>49</x:v>
        <x:is>
          <x:t>Total K392</x:t>
        </x:is>
      </x:c>
      <x:c r="C36" s="64"/>
      <x:c r="D36" s="63" t="n">
        <x:v>164.6</x:v>
      </x:c>
      <x:c r="E36" s="65" t="n">
        <x:v>50.5</x:v>
      </x:c>
      <x:c r="F36" s="65" t="n">
        <x:f>MAX(D36-E36, 0)</x:f>
        <x:v>0</x:v>
      </x:c>
      <x:c r="G36" s="66" t="n">
        <x:f>IF(D36=0,0,ABS(E36/D36))</x:f>
        <x:v>0</x:v>
      </x:c>
      <x:c r="H36" s="63" t="n">
        <x:v>0</x:v>
      </x:c>
      <x:c r="I36" s="65" t="n">
        <x:v>2294.75</x:v>
      </x:c>
      <x:c r="J36" s="67" t="n">
        <x:f>IF(H36=0,"No plan at start",I36/H36)</x:f>
        <x:v>0.5</x:v>
      </x:c>
      <x:c r="K36" s="65" t="n">
        <x:f>MAX(H36-I36, 0)</x:f>
        <x:v>1</x:v>
      </x:c>
      <x:c r="L36" s="65" t="n">
        <x:v>3386.96</x:v>
      </x:c>
      <x:c r="M36" s="65" t="n">
        <x:f>I36+L36</x:f>
        <x:v>6</x:v>
      </x:c>
      <x:c r="N36" s="65" t="n">
        <x:f>M36-H36</x:f>
        <x:v>4</x:v>
      </x:c>
      <x:c r="O36" s="66" t="n">
        <x:f>IF(H36=0,"No plan at start",M36/H36)</x:f>
        <x:v>3</x:v>
      </x:c>
      <x:c r="P36" s="29"/>
      <x:c r="Q36" s="30"/>
      <x:c r="R36" s="31"/>
      <x:c r="S36" s="31"/>
    </x:row>
    <x:row r="37" x14ac:dyDescent="0.2"/>
    <x:row r="38" x14ac:dyDescent="0.2"/>
    <x:row r="39" spans="1:19" x14ac:dyDescent="0.2">
      <x:c r="B39" s="14" t="s">
        <x:v>30</x:v>
      </x:c>
      <x:c r="C39" s="15"/>
      <x:c r="D39" s="15"/>
      <x:c r="E39" s="15"/>
      <x:c r="F39" s="16"/>
      <x:c r="G39" s="16"/>
      <x:c r="H39" s="17"/>
      <x:c r="I39" s="7"/>
      <x:c r="J39" s="7"/>
      <x:c r="K39" s="18"/>
      <x:c r="L39" s="7"/>
      <x:c r="M39" s="25"/>
      <x:c r="N39" s="7"/>
      <x:c r="O39" s="7"/>
    </x:row>
    <x:row r="40" spans="1:19" ht="13.5" thickBot="1" x14ac:dyDescent="0.25">
      <x:c r="B40" s="7"/>
      <x:c r="C40" s="7"/>
      <x:c r="D40" s="7"/>
      <x:c r="E40" s="7"/>
      <x:c r="F40" s="7"/>
      <x:c r="G40" s="7"/>
      <x:c r="H40" s="7"/>
      <x:c r="I40" s="7"/>
      <x:c r="J40" s="7"/>
      <x:c r="K40" s="7"/>
      <x:c r="L40" s="7"/>
      <x:c r="M40" s="7"/>
      <x:c r="N40" s="7"/>
      <x:c r="O40" s="7"/>
    </x:row>
    <x:row r="41" spans="1:19" x14ac:dyDescent="0.2">
      <x:c r="B41" s="48"/>
      <x:c r="C41" s="49"/>
      <x:c r="D41" s="77" t="s">
        <x:v>39</x:v>
      </x:c>
      <x:c r="E41" s="78"/>
      <x:c r="F41" s="78"/>
      <x:c r="G41" s="79"/>
      <x:c r="H41" s="77" t="s">
        <x:v>40</x:v>
      </x:c>
      <x:c r="I41" s="78"/>
      <x:c r="J41" s="78"/>
      <x:c r="K41" s="78"/>
      <x:c r="L41" s="78"/>
      <x:c r="M41" s="78"/>
      <x:c r="N41" s="78"/>
      <x:c r="O41" s="79"/>
    </x:row>
    <x:row r="42" spans="1:19" x14ac:dyDescent="0.2">
      <x:c r="B42" s="68"/>
      <x:c r="C42" s="69"/>
      <x:c r="D42" s="36" t="s">
        <x:v>2</x:v>
      </x:c>
      <x:c r="E42" s="38" t="s">
        <x:v>3</x:v>
      </x:c>
      <x:c r="F42" s="38" t="s">
        <x:v>44</x:v>
      </x:c>
      <x:c r="G42" s="37" t="s">
        <x:v>41</x:v>
      </x:c>
      <x:c r="H42" s="36" t="s">
        <x:v>20</x:v>
      </x:c>
      <x:c r="I42" s="38" t="s">
        <x:v>34</x:v>
      </x:c>
      <x:c r="J42" s="39" t="s">
        <x:v>35</x:v>
      </x:c>
      <x:c r="K42" s="39" t="s">
        <x:v>36</x:v>
      </x:c>
      <x:c r="L42" s="38" t="s">
        <x:v>19</x:v>
      </x:c>
      <x:c r="M42" s="38" t="s">
        <x:v>37</x:v>
      </x:c>
      <x:c r="N42" s="38" t="s">
        <x:v>22</x:v>
      </x:c>
      <x:c r="O42" s="37" t="s">
        <x:v>23</x:v>
      </x:c>
    </x:row>
    <x:row r="43" spans="1:19" ht="76.5" x14ac:dyDescent="0.2">
      <x:c r="B43" s="40" t="s">
        <x:v>14</x:v>
      </x:c>
      <x:c r="C43" s="41" t="s">
        <x:v>28</x:v>
      </x:c>
      <x:c r="D43" s="40" t="s">
        <x:v>45</x:v>
      </x:c>
      <x:c r="E43" s="42" t="s">
        <x:v>15</x:v>
      </x:c>
      <x:c r="F43" s="42" t="s">
        <x:v>42</x:v>
      </x:c>
      <x:c r="G43" s="41" t="s">
        <x:v>43</x:v>
      </x:c>
      <x:c r="H43" s="40" t="s">
        <x:v>46</x:v>
      </x:c>
      <x:c r="I43" s="42" t="s">
        <x:v>31</x:v>
      </x:c>
      <x:c r="J43" s="43" t="s">
        <x:v>47</x:v>
      </x:c>
      <x:c r="K43" s="43" t="s">
        <x:v>17</x:v>
      </x:c>
      <x:c r="L43" s="42" t="s">
        <x:v>48</x:v>
      </x:c>
      <x:c r="M43" s="42" t="s">
        <x:v>32</x:v>
      </x:c>
      <x:c r="N43" s="42" t="s">
        <x:v>33</x:v>
      </x:c>
      <x:c r="O43" s="41" t="s">
        <x:v>24</x:v>
      </x:c>
    </x:row>
    <x:row r="44" spans="1:19" hidden="1" outlineLevel="2" collapsed="1" x14ac:dyDescent="0.2">
      <x:c r="B44" s="45" t="inlineStr">
        <x:is>
          <x:t>D889</x:t>
        </x:is>
      </x:c>
      <x:c r="C44" s="46" t="inlineStr">
        <x:is>
          <x:t>Andrzejak, Katarzyna</x:t>
        </x:is>
      </x:c>
      <x:c r="D44" s="45" t="n">
        <x:v>3155.8904</x:v>
      </x:c>
      <x:c r="E44" s="19" t="n">
        <x:v>1811.16</x:v>
      </x:c>
      <x:c r="F44" s="19" t="n">
        <x:f>MAX(D44-E44, 0)</x:f>
        <x:v>1</x:v>
      </x:c>
      <x:c r="G44" s="47" t="n">
        <x:f>IF(D44=0,0,ABS(E44/D44))</x:f>
        <x:v>0.5</x:v>
      </x:c>
      <x:c r="H44" s="52"/>
      <x:c r="I44" s="50"/>
      <x:c r="J44" s="50"/>
      <x:c r="K44" s="51"/>
      <x:c r="L44" s="19" t="n">
        <x:v>28835.456</x:v>
      </x:c>
      <x:c r="M44" s="50"/>
      <x:c r="N44" s="50"/>
      <x:c r="O44" s="70"/>
    </x:row>
    <x:row r="45" spans="1:19" outlineLevel="1" x14ac:dyDescent="0.2">
      <x:c r="B45" s="58" t="inlineStr">
        <x:v>49</x:v>
        <x:is>
          <x:t>Total D889</x:t>
        </x:is>
      </x:c>
      <x:c r="C45" s="59"/>
      <x:c r="D45" s="58" t="n">
        <x:v>3155.8904</x:v>
      </x:c>
      <x:c r="E45" s="60" t="n">
        <x:v>1811.16</x:v>
      </x:c>
      <x:c r="F45" s="60" t="n">
        <x:f>MAX(D45-E45, 0)</x:f>
        <x:v>1</x:v>
      </x:c>
      <x:c r="G45" s="61" t="n">
        <x:f>IF(D45=0,0,ABS(E45/D45))</x:f>
        <x:v>0.5</x:v>
      </x:c>
      <x:c r="H45" s="58" t="n">
        <x:v>98672</x:v>
      </x:c>
      <x:c r="I45" s="60" t="n">
        <x:v>205164.18</x:v>
      </x:c>
      <x:c r="J45" s="62" t="n">
        <x:f>IF(H45=0,"No plan at start",I45/H45)</x:f>
        <x:v>2</x:v>
      </x:c>
      <x:c r="K45" s="60" t="n">
        <x:f>MAX(H45-I45, 0)</x:f>
        <x:v>0</x:v>
      </x:c>
      <x:c r="L45" s="60" t="n">
        <x:v>28835.456</x:v>
      </x:c>
      <x:c r="M45" s="60" t="n">
        <x:f>I45+L45</x:f>
        <x:v>3</x:v>
      </x:c>
      <x:c r="N45" s="60" t="n">
        <x:f>M45-H45</x:f>
        <x:v>2</x:v>
      </x:c>
      <x:c r="O45" s="61" t="n">
        <x:f>IF(H45=0,"No plan at start",M45/H45)</x:f>
        <x:v>3</x:v>
      </x:c>
    </x:row>
    <x:row r="46" spans="1:19" hidden="1" outlineLevel="2" collapsed="1" x14ac:dyDescent="0.2">
      <x:c r="B46" s="45" t="inlineStr">
        <x:is>
          <x:t>E556</x:t>
        </x:is>
      </x:c>
      <x:c r="C46" s="46" t="inlineStr">
        <x:is>
          <x:t>Andrzejak, Katarzyna</x:t>
        </x:is>
      </x:c>
      <x:c r="D46" s="45" t="n">
        <x:v>1707.4096</x:v>
      </x:c>
      <x:c r="E46" s="19" t="n">
        <x:v>0</x:v>
      </x:c>
      <x:c r="F46" s="19" t="n">
        <x:f>MAX(D46-E46, 0)</x:f>
        <x:v>1</x:v>
      </x:c>
      <x:c r="G46" s="47" t="n">
        <x:f>IF(D46=0,0,ABS(E46/D46))</x:f>
        <x:v>0.5</x:v>
      </x:c>
      <x:c r="H46" s="52"/>
      <x:c r="I46" s="50"/>
      <x:c r="J46" s="50"/>
      <x:c r="K46" s="51"/>
      <x:c r="L46" s="19" t="n">
        <x:v>3354.0</x:v>
      </x:c>
      <x:c r="M46" s="50"/>
      <x:c r="N46" s="50"/>
      <x:c r="O46" s="70"/>
    </x:row>
    <x:row r="47" spans="1:19" hidden="1" outlineLevel="2" collapsed="1" x14ac:dyDescent="0.2">
      <x:c r="B47" s="45" t="inlineStr">
        <x:is>
          <x:t>E556</x:t>
        </x:is>
      </x:c>
      <x:c r="C47" s="46" t="inlineStr">
        <x:is>
          <x:t>Madey, Joanna</x:t>
        </x:is>
      </x:c>
      <x:c r="D47" s="45" t="n">
        <x:v>3756.48</x:v>
      </x:c>
      <x:c r="E47" s="19" t="n">
        <x:v>2862.08</x:v>
      </x:c>
      <x:c r="F47" s="19" t="n">
        <x:f>MAX(D47-E47, 0)</x:f>
        <x:v>1</x:v>
      </x:c>
      <x:c r="G47" s="47" t="n">
        <x:f>IF(D47=0,0,ABS(E47/D47))</x:f>
        <x:v>0.5</x:v>
      </x:c>
      <x:c r="H47" s="72"/>
      <x:c r="I47" s="73"/>
      <x:c r="J47" s="73"/>
      <x:c r="K47" s="74"/>
      <x:c r="L47" s="19" t="n">
        <x:v>4114.24</x:v>
      </x:c>
      <x:c r="M47" s="73"/>
      <x:c r="N47" s="73"/>
      <x:c r="O47" s="76"/>
    </x:row>
    <x:row r="48" spans="1:19" hidden="1" outlineLevel="2" collapsed="1" x14ac:dyDescent="0.2">
      <x:c r="B48" s="45" t="inlineStr">
        <x:is>
          <x:t>E556</x:t>
        </x:is>
      </x:c>
      <x:c r="C48" s="46" t="inlineStr">
        <x:is>
          <x:t>Pisarek, Malgorzata</x:t>
        </x:is>
      </x:c>
      <x:c r="D48" s="45" t="n">
        <x:v>2081.664</x:v>
      </x:c>
      <x:c r="E48" s="19" t="n">
        <x:v>748.80</x:v>
      </x:c>
      <x:c r="F48" s="19" t="n">
        <x:f>MAX(D48-E48, 0)</x:f>
        <x:v>1</x:v>
      </x:c>
      <x:c r="G48" s="47" t="n">
        <x:f>IF(D48=0,0,ABS(E48/D48))</x:f>
        <x:v>0.5</x:v>
      </x:c>
      <x:c r="H48" s="72"/>
      <x:c r="I48" s="73"/>
      <x:c r="J48" s="73"/>
      <x:c r="K48" s="74"/>
      <x:c r="L48" s="19" t="n">
        <x:v>3344.64</x:v>
      </x:c>
      <x:c r="M48" s="73"/>
      <x:c r="N48" s="73"/>
      <x:c r="O48" s="76"/>
    </x:row>
    <x:row r="49" spans="1:19" hidden="1" outlineLevel="2" collapsed="1" x14ac:dyDescent="0.2">
      <x:c r="B49" s="45" t="inlineStr">
        <x:is>
          <x:t>E556</x:t>
        </x:is>
      </x:c>
      <x:c r="C49" s="46" t="inlineStr">
        <x:is>
          <x:t>Szymik-Gralewska, Jolanta</x:t>
        </x:is>
      </x:c>
      <x:c r="D49" s="45" t="n">
        <x:v>873.6</x:v>
      </x:c>
      <x:c r="E49" s="19" t="n">
        <x:v>611</x:v>
      </x:c>
      <x:c r="F49" s="19" t="n">
        <x:f>MAX(D49-E49, 0)</x:f>
        <x:v>1</x:v>
      </x:c>
      <x:c r="G49" s="47" t="n">
        <x:f>IF(D49=0,0,ABS(E49/D49))</x:f>
        <x:v>0.5</x:v>
      </x:c>
      <x:c r="H49" s="53"/>
      <x:c r="I49" s="54"/>
      <x:c r="J49" s="54"/>
      <x:c r="K49" s="55"/>
      <x:c r="L49" s="19" t="n">
        <x:v>436.8</x:v>
      </x:c>
      <x:c r="M49" s="54"/>
      <x:c r="N49" s="54"/>
      <x:c r="O49" s="71"/>
    </x:row>
    <x:row r="50" spans="1:19" outlineLevel="1" x14ac:dyDescent="0.2">
      <x:c r="B50" s="58" t="inlineStr">
        <x:v>49</x:v>
        <x:is>
          <x:t>Total E556</x:t>
        </x:is>
      </x:c>
      <x:c r="C50" s="59"/>
      <x:c r="D50" s="58" t="n">
        <x:v>8419.1536</x:v>
      </x:c>
      <x:c r="E50" s="60" t="n">
        <x:v>4221.88</x:v>
      </x:c>
      <x:c r="F50" s="60" t="n">
        <x:f>MAX(D50-E50, 0)</x:f>
        <x:v>1</x:v>
      </x:c>
      <x:c r="G50" s="61" t="n">
        <x:f>IF(D50=0,0,ABS(E50/D50))</x:f>
        <x:v>0.5</x:v>
      </x:c>
      <x:c r="H50" s="58" t="n">
        <x:v>220755.808</x:v>
      </x:c>
      <x:c r="I50" s="60" t="n">
        <x:v>490023.82</x:v>
      </x:c>
      <x:c r="J50" s="62" t="n">
        <x:f>IF(H50=0,"No plan at start",I50/H50)</x:f>
        <x:v>2</x:v>
      </x:c>
      <x:c r="K50" s="60" t="n">
        <x:f>MAX(H50-I50, 0)</x:f>
        <x:v>0</x:v>
      </x:c>
      <x:c r="L50" s="60" t="n">
        <x:v>11249.68</x:v>
      </x:c>
      <x:c r="M50" s="60" t="n">
        <x:f>I50+L50</x:f>
        <x:v>3</x:v>
      </x:c>
      <x:c r="N50" s="60" t="n">
        <x:f>M50-H50</x:f>
        <x:v>2</x:v>
      </x:c>
      <x:c r="O50" s="61" t="n">
        <x:f>IF(H50=0,"No plan at start",M50/H50)</x:f>
        <x:v>3</x:v>
      </x:c>
    </x:row>
    <x:row r="51" spans="1:19" hidden="1" outlineLevel="2" collapsed="1" x14ac:dyDescent="0.2">
      <x:c r="B51" s="45" t="inlineStr">
        <x:is>
          <x:t>E872</x:t>
        </x:is>
      </x:c>
      <x:c r="C51" s="46" t="inlineStr">
        <x:is>
          <x:t>Szymik-Gralewska, Jolanta</x:t>
        </x:is>
      </x:c>
      <x:c r="D51" s="45" t="n">
        <x:v>873.6</x:v>
      </x:c>
      <x:c r="E51" s="19" t="n">
        <x:v>0</x:v>
      </x:c>
      <x:c r="F51" s="19" t="n">
        <x:f>MAX(D51-E51, 0)</x:f>
        <x:v>1</x:v>
      </x:c>
      <x:c r="G51" s="47" t="n">
        <x:f>IF(D51=0,0,ABS(E51/D51))</x:f>
        <x:v>0.5</x:v>
      </x:c>
      <x:c r="H51" s="52"/>
      <x:c r="I51" s="50"/>
      <x:c r="J51" s="50"/>
      <x:c r="K51" s="51"/>
      <x:c r="L51" s="19" t="n">
        <x:v>8382.4</x:v>
      </x:c>
      <x:c r="M51" s="50"/>
      <x:c r="N51" s="50"/>
      <x:c r="O51" s="70"/>
    </x:row>
    <x:row r="52" spans="1:19" outlineLevel="1" x14ac:dyDescent="0.2">
      <x:c r="B52" s="58" t="inlineStr">
        <x:v>49</x:v>
        <x:is>
          <x:t>Total E872</x:t>
        </x:is>
      </x:c>
      <x:c r="C52" s="59"/>
      <x:c r="D52" s="58" t="n">
        <x:v>873.6</x:v>
      </x:c>
      <x:c r="E52" s="60" t="n">
        <x:v>0</x:v>
      </x:c>
      <x:c r="F52" s="60" t="n">
        <x:f>MAX(D52-E52, 0)</x:f>
        <x:v>1</x:v>
      </x:c>
      <x:c r="G52" s="61" t="n">
        <x:f>IF(D52=0,0,ABS(E52/D52))</x:f>
        <x:v>0.5</x:v>
      </x:c>
      <x:c r="H52" s="58" t="n">
        <x:v>0</x:v>
      </x:c>
      <x:c r="I52" s="60" t="n">
        <x:v>31351.84</x:v>
      </x:c>
      <x:c r="J52" s="62" t="n">
        <x:f>IF(H52=0,"No plan at start",I52/H52)</x:f>
        <x:v>2</x:v>
      </x:c>
      <x:c r="K52" s="60" t="n">
        <x:f>MAX(H52-I52, 0)</x:f>
        <x:v>0</x:v>
      </x:c>
      <x:c r="L52" s="60" t="n">
        <x:v>8382.4</x:v>
      </x:c>
      <x:c r="M52" s="60" t="n">
        <x:f>I52+L52</x:f>
        <x:v>3</x:v>
      </x:c>
      <x:c r="N52" s="60" t="n">
        <x:f>M52-H52</x:f>
        <x:v>2</x:v>
      </x:c>
      <x:c r="O52" s="61" t="n">
        <x:f>IF(H52=0,"No plan at start",M52/H52)</x:f>
        <x:v>3</x:v>
      </x:c>
    </x:row>
    <x:row r="53" spans="1:19" hidden="1" outlineLevel="2" collapsed="1" x14ac:dyDescent="0.2">
      <x:c r="B53" s="45" t="inlineStr">
        <x:is>
          <x:t>G492</x:t>
        </x:is>
      </x:c>
      <x:c r="C53" s="46" t="inlineStr">
        <x:is>
          <x:t>Andrzejak, Katarzyna</x:t>
        </x:is>
      </x:c>
      <x:c r="D53" s="45" t="n">
        <x:v>0</x:v>
      </x:c>
      <x:c r="E53" s="19" t="n">
        <x:v>0</x:v>
      </x:c>
      <x:c r="F53" s="19" t="n">
        <x:f>MAX(D53-E53, 0)</x:f>
        <x:v>1</x:v>
      </x:c>
      <x:c r="G53" s="47" t="n">
        <x:f>IF(D53=0,0,ABS(E53/D53))</x:f>
        <x:v>0.5</x:v>
      </x:c>
      <x:c r="H53" s="52"/>
      <x:c r="I53" s="50"/>
      <x:c r="J53" s="50"/>
      <x:c r="K53" s="51"/>
      <x:c r="L53" s="19" t="n">
        <x:v>1967.68</x:v>
      </x:c>
      <x:c r="M53" s="50"/>
      <x:c r="N53" s="50"/>
      <x:c r="O53" s="70"/>
    </x:row>
    <x:row r="54" spans="1:19" outlineLevel="1" x14ac:dyDescent="0.2">
      <x:c r="B54" s="58" t="inlineStr">
        <x:v>49</x:v>
        <x:is>
          <x:t>Total G492</x:t>
        </x:is>
      </x:c>
      <x:c r="C54" s="59"/>
      <x:c r="D54" s="58" t="n">
        <x:v>0</x:v>
      </x:c>
      <x:c r="E54" s="60" t="n">
        <x:v>0</x:v>
      </x:c>
      <x:c r="F54" s="60" t="n">
        <x:f>MAX(D54-E54, 0)</x:f>
        <x:v>1</x:v>
      </x:c>
      <x:c r="G54" s="61" t="n">
        <x:f>IF(D54=0,0,ABS(E54/D54))</x:f>
        <x:v>0.5</x:v>
      </x:c>
      <x:c r="H54" s="58" t="n">
        <x:v>16464</x:v>
      </x:c>
      <x:c r="I54" s="60" t="n">
        <x:v>33920.12</x:v>
      </x:c>
      <x:c r="J54" s="62" t="n">
        <x:f>IF(H54=0,"No plan at start",I54/H54)</x:f>
        <x:v>2</x:v>
      </x:c>
      <x:c r="K54" s="60" t="n">
        <x:f>MAX(H54-I54, 0)</x:f>
        <x:v>0</x:v>
      </x:c>
      <x:c r="L54" s="60" t="n">
        <x:v>1967.68</x:v>
      </x:c>
      <x:c r="M54" s="60" t="n">
        <x:f>I54+L54</x:f>
        <x:v>3</x:v>
      </x:c>
      <x:c r="N54" s="60" t="n">
        <x:f>M54-H54</x:f>
        <x:v>2</x:v>
      </x:c>
      <x:c r="O54" s="61" t="n">
        <x:f>IF(H54=0,"No plan at start",M54/H54)</x:f>
        <x:v>3</x:v>
      </x:c>
    </x:row>
    <x:row r="55" spans="1:19" hidden="1" outlineLevel="2" collapsed="1" x14ac:dyDescent="0.2">
      <x:c r="B55" s="45" t="inlineStr">
        <x:is>
          <x:t>G493</x:t>
        </x:is>
      </x:c>
      <x:c r="C55" s="46" t="inlineStr">
        <x:is>
          <x:t>Andrzejak, Katarzyna</x:t>
        </x:is>
      </x:c>
      <x:c r="D55" s="45" t="n">
        <x:v>357.76</x:v>
      </x:c>
      <x:c r="E55" s="19" t="n">
        <x:v>0</x:v>
      </x:c>
      <x:c r="F55" s="19" t="n">
        <x:f>MAX(D55-E55, 0)</x:f>
        <x:v>1</x:v>
      </x:c>
      <x:c r="G55" s="47" t="n">
        <x:f>IF(D55=0,0,ABS(E55/D55))</x:f>
        <x:v>0.5</x:v>
      </x:c>
      <x:c r="H55" s="52"/>
      <x:c r="I55" s="50"/>
      <x:c r="J55" s="50"/>
      <x:c r="K55" s="51"/>
      <x:c r="L55" s="19" t="n">
        <x:v>1609.92</x:v>
      </x:c>
      <x:c r="M55" s="50"/>
      <x:c r="N55" s="50"/>
      <x:c r="O55" s="70"/>
    </x:row>
    <x:row r="56" spans="1:19" outlineLevel="1" x14ac:dyDescent="0.2">
      <x:c r="B56" s="58" t="inlineStr">
        <x:v>49</x:v>
        <x:is>
          <x:t>Total G493</x:t>
        </x:is>
      </x:c>
      <x:c r="C56" s="59"/>
      <x:c r="D56" s="58" t="n">
        <x:v>357.76</x:v>
      </x:c>
      <x:c r="E56" s="60" t="n">
        <x:v>0</x:v>
      </x:c>
      <x:c r="F56" s="60" t="n">
        <x:f>MAX(D56-E56, 0)</x:f>
        <x:v>1</x:v>
      </x:c>
      <x:c r="G56" s="61" t="n">
        <x:f>IF(D56=0,0,ABS(E56/D56))</x:f>
        <x:v>0.5</x:v>
      </x:c>
      <x:c r="H56" s="58" t="n">
        <x:v>12768</x:v>
      </x:c>
      <x:c r="I56" s="60" t="n">
        <x:v>24104.08</x:v>
      </x:c>
      <x:c r="J56" s="62" t="n">
        <x:f>IF(H56=0,"No plan at start",I56/H56)</x:f>
        <x:v>2</x:v>
      </x:c>
      <x:c r="K56" s="60" t="n">
        <x:f>MAX(H56-I56, 0)</x:f>
        <x:v>0</x:v>
      </x:c>
      <x:c r="L56" s="60" t="n">
        <x:v>1609.92</x:v>
      </x:c>
      <x:c r="M56" s="60" t="n">
        <x:f>I56+L56</x:f>
        <x:v>3</x:v>
      </x:c>
      <x:c r="N56" s="60" t="n">
        <x:f>M56-H56</x:f>
        <x:v>2</x:v>
      </x:c>
      <x:c r="O56" s="61" t="n">
        <x:f>IF(H56=0,"No plan at start",M56/H56)</x:f>
        <x:v>3</x:v>
      </x:c>
    </x:row>
    <x:row r="57" spans="1:19" hidden="1" outlineLevel="2" collapsed="1" x14ac:dyDescent="0.2">
      <x:c r="B57" s="45" t="inlineStr">
        <x:is>
          <x:t>K325</x:t>
        </x:is>
      </x:c>
      <x:c r="C57" s="46" t="inlineStr">
        <x:is>
          <x:t>Andrzejak, Katarzyna</x:t>
        </x:is>
      </x:c>
      <x:c r="D57" s="45" t="n">
        <x:v>0</x:v>
      </x:c>
      <x:c r="E57" s="19" t="n">
        <x:v>44.72</x:v>
      </x:c>
      <x:c r="F57" s="19" t="n">
        <x:f>MAX(D57-E57, 0)</x:f>
        <x:v>1</x:v>
      </x:c>
      <x:c r="G57" s="47" t="n">
        <x:f>IF(D57=0,0,ABS(E57/D57))</x:f>
        <x:v>0.5</x:v>
      </x:c>
      <x:c r="H57" s="52"/>
      <x:c r="I57" s="50"/>
      <x:c r="J57" s="50"/>
      <x:c r="K57" s="51"/>
      <x:c r="L57" s="19" t="n">
        <x:v>0</x:v>
      </x:c>
      <x:c r="M57" s="50"/>
      <x:c r="N57" s="50"/>
      <x:c r="O57" s="70"/>
    </x:row>
    <x:row r="58" spans="1:19" outlineLevel="1" x14ac:dyDescent="0.2">
      <x:c r="B58" s="58" t="inlineStr">
        <x:v>49</x:v>
        <x:is>
          <x:t>Total K325</x:t>
        </x:is>
      </x:c>
      <x:c r="C58" s="59"/>
      <x:c r="D58" s="58" t="n">
        <x:v>0</x:v>
      </x:c>
      <x:c r="E58" s="60" t="n">
        <x:v>44.72</x:v>
      </x:c>
      <x:c r="F58" s="60" t="n">
        <x:f>MAX(D58-E58, 0)</x:f>
        <x:v>1</x:v>
      </x:c>
      <x:c r="G58" s="61" t="n">
        <x:f>IF(D58=0,0,ABS(E58/D58))</x:f>
        <x:v>0.5</x:v>
      </x:c>
      <x:c r="H58" s="58" t="n">
        <x:v>0</x:v>
      </x:c>
      <x:c r="I58" s="60" t="n">
        <x:v>471.38</x:v>
      </x:c>
      <x:c r="J58" s="62" t="n">
        <x:f>IF(H58=0,"No plan at start",I58/H58)</x:f>
        <x:v>2</x:v>
      </x:c>
      <x:c r="K58" s="60" t="n">
        <x:f>MAX(H58-I58, 0)</x:f>
        <x:v>0</x:v>
      </x:c>
      <x:c r="L58" s="60" t="n">
        <x:v>0</x:v>
      </x:c>
      <x:c r="M58" s="60" t="n">
        <x:f>I58+L58</x:f>
        <x:v>3</x:v>
      </x:c>
      <x:c r="N58" s="60" t="n">
        <x:f>M58-H58</x:f>
        <x:v>2</x:v>
      </x:c>
      <x:c r="O58" s="61" t="n">
        <x:f>IF(H58=0,"No plan at start",M58/H58)</x:f>
        <x:v>3</x:v>
      </x:c>
    </x:row>
    <x:row r="59" spans="1:19" hidden="1" outlineLevel="2" collapsed="1" x14ac:dyDescent="0.2">
      <x:c r="B59" s="45" t="inlineStr">
        <x:is>
          <x:t>K392</x:t>
        </x:is>
      </x:c>
      <x:c r="C59" s="46" t="inlineStr">
        <x:is>
          <x:t>Andrzejak, Katarzyna</x:t>
        </x:is>
      </x:c>
      <x:c r="D59" s="45" t="n">
        <x:v>0</x:v>
      </x:c>
      <x:c r="E59" s="19" t="n">
        <x:v>0</x:v>
      </x:c>
      <x:c r="F59" s="19" t="n">
        <x:f>MAX(D59-E59, 0)</x:f>
        <x:v>1</x:v>
      </x:c>
      <x:c r="G59" s="47" t="n">
        <x:f>IF(D59=0,0,ABS(E59/D59))</x:f>
        <x:v>0.5</x:v>
      </x:c>
      <x:c r="H59" s="52"/>
      <x:c r="I59" s="50"/>
      <x:c r="J59" s="50"/>
      <x:c r="K59" s="51"/>
      <x:c r="L59" s="19" t="n">
        <x:v>2325.440</x:v>
      </x:c>
      <x:c r="M59" s="50"/>
      <x:c r="N59" s="50"/>
      <x:c r="O59" s="70"/>
    </x:row>
    <x:row r="60" spans="1:19" hidden="1" outlineLevel="2" collapsed="1" x14ac:dyDescent="0.2">
      <x:c r="B60" s="45" t="inlineStr">
        <x:is>
          <x:t>K392</x:t>
        </x:is>
      </x:c>
      <x:c r="C60" s="46" t="inlineStr">
        <x:is>
          <x:t>Madey, Joanna</x:t>
        </x:is>
      </x:c>
      <x:c r="D60" s="45" t="n">
        <x:v>2629.536</x:v>
      </x:c>
      <x:c r="E60" s="19" t="n">
        <x:v>89.44</x:v>
      </x:c>
      <x:c r="F60" s="19" t="n">
        <x:f>MAX(D60-E60, 0)</x:f>
        <x:v>1</x:v>
      </x:c>
      <x:c r="G60" s="47" t="n">
        <x:f>IF(D60=0,0,ABS(E60/D60))</x:f>
        <x:v>0.5</x:v>
      </x:c>
      <x:c r="H60" s="72"/>
      <x:c r="I60" s="73"/>
      <x:c r="J60" s="73"/>
      <x:c r="K60" s="74"/>
      <x:c r="L60" s="19" t="n">
        <x:v>76999.3432</x:v>
      </x:c>
      <x:c r="M60" s="73"/>
      <x:c r="N60" s="73"/>
      <x:c r="O60" s="76"/>
    </x:row>
    <x:row r="61" spans="1:19" hidden="1" outlineLevel="2" collapsed="1" x14ac:dyDescent="0.2">
      <x:c r="B61" s="45" t="inlineStr">
        <x:is>
          <x:t>K392</x:t>
        </x:is>
      </x:c>
      <x:c r="C61" s="46" t="inlineStr">
        <x:is>
          <x:t>Pisarek, Malgorzata</x:t>
        </x:is>
      </x:c>
      <x:c r="D61" s="45" t="n">
        <x:v>83.2</x:v>
      </x:c>
      <x:c r="E61" s="19" t="n">
        <x:v>0</x:v>
      </x:c>
      <x:c r="F61" s="19" t="n">
        <x:f>MAX(D61-E61, 0)</x:f>
        <x:v>1</x:v>
      </x:c>
      <x:c r="G61" s="47" t="n">
        <x:f>IF(D61=0,0,ABS(E61/D61))</x:f>
        <x:v>0.5</x:v>
      </x:c>
      <x:c r="H61" s="72"/>
      <x:c r="I61" s="73"/>
      <x:c r="J61" s="73"/>
      <x:c r="K61" s="74"/>
      <x:c r="L61" s="19" t="n">
        <x:v>5039.2576</x:v>
      </x:c>
      <x:c r="M61" s="73"/>
      <x:c r="N61" s="73"/>
      <x:c r="O61" s="76"/>
    </x:row>
    <x:row r="62" spans="1:19" hidden="1" outlineLevel="2" collapsed="1" x14ac:dyDescent="0.2">
      <x:c r="B62" s="45" t="inlineStr">
        <x:is>
          <x:t>K392</x:t>
        </x:is>
      </x:c>
      <x:c r="C62" s="46" t="inlineStr">
        <x:is>
          <x:t>Szymik-Gralewska, Jolanta</x:t>
        </x:is>
      </x:c>
      <x:c r="D62" s="45" t="n">
        <x:v>2620.8</x:v>
      </x:c>
      <x:c r="E62" s="19" t="n">
        <x:v>1261</x:v>
      </x:c>
      <x:c r="F62" s="19" t="n">
        <x:f>MAX(D62-E62, 0)</x:f>
        <x:v>1</x:v>
      </x:c>
      <x:c r="G62" s="47" t="n">
        <x:f>IF(D62=0,0,ABS(E62/D62))</x:f>
        <x:v>0.5</x:v>
      </x:c>
      <x:c r="H62" s="53"/>
      <x:c r="I62" s="54"/>
      <x:c r="J62" s="54"/>
      <x:c r="K62" s="55"/>
      <x:c r="L62" s="19" t="n">
        <x:v>34068.06</x:v>
      </x:c>
      <x:c r="M62" s="54"/>
      <x:c r="N62" s="54"/>
      <x:c r="O62" s="71"/>
    </x:row>
    <x:row r="63" spans="1:19" ht="13.5" outlineLevel="1" thickBot="1" x14ac:dyDescent="0.25">
      <x:c r="B63" s="63" t="inlineStr">
        <x:v>49</x:v>
        <x:is>
          <x:t>Total K392</x:t>
        </x:is>
      </x:c>
      <x:c r="C63" s="64"/>
      <x:c r="D63" s="63" t="n">
        <x:v>5333.536</x:v>
      </x:c>
      <x:c r="E63" s="65" t="n">
        <x:v>1350.44</x:v>
      </x:c>
      <x:c r="F63" s="65" t="n">
        <x:f>MAX(D63-E63, 0)</x:f>
        <x:v>0</x:v>
      </x:c>
      <x:c r="G63" s="66" t="n">
        <x:f>IF(D63=0,0,ABS(E63/D63))</x:f>
        <x:v>4</x:v>
      </x:c>
      <x:c r="H63" s="63" t="n">
        <x:v>228573.800</x:v>
      </x:c>
      <x:c r="I63" s="65" t="n">
        <x:v>76035.70</x:v>
      </x:c>
      <x:c r="J63" s="67" t="n">
        <x:f>IF(H63=0,"No plan at start",I63/H63)</x:f>
        <x:v>0.5</x:v>
      </x:c>
      <x:c r="K63" s="65" t="n">
        <x:f>MAX(H63-I63, 0)</x:f>
        <x:v>1</x:v>
      </x:c>
      <x:c r="L63" s="65" t="n">
        <x:v>118432.1008</x:v>
      </x:c>
      <x:c r="M63" s="65" t="n">
        <x:f>I63+L63</x:f>
        <x:v>6</x:v>
      </x:c>
      <x:c r="N63" s="65" t="n">
        <x:f>M63-H63</x:f>
        <x:v>4</x:v>
      </x:c>
      <x:c r="O63" s="66" t="n">
        <x:f>IF(H63=0,"No plan at start",M63/H63)</x:f>
        <x:v>3</x:v>
      </x:c>
    </x:row>
    <x:row r="64" x14ac:dyDescent="0.2"/>
  </x:sheetData>
  <x:mergeCells count="9">
    <x:mergeCell ref="B2:C2"/>
    <x:mergeCell ref="F2:G2"/>
    <x:mergeCell ref="F4:G4"/>
    <x:mergeCell ref="F5:O7"/>
    <x:mergeCell ref="F8:M9"/>
    <x:mergeCell ref="D14:G14"/>
    <x:mergeCell ref="H14:O14"/>
    <x:mergeCell ref="D41:G41"/>
    <x:mergeCell ref="H41:O41"/>
  </x:mergeCells>
  <x:conditionalFormatting sqref="F17:F36 F44:F63">
    <x:cfRule type="cellIs" dxfId="11" priority="5" operator="greaterThan">
      <x:formula>0</x:formula>
    </x:cfRule>
    <x:cfRule type="cellIs" dxfId="10" priority="6" operator="lessThanOrEqual">
      <x:formula>0</x:formula>
    </x:cfRule>
  </x:conditionalFormatting>
  <x:conditionalFormatting sqref="N18 N23 N25 N27 N29 N31 N36 N45 N50 N52 N54 N56 N58 N63">
    <x:cfRule type="cellIs" dxfId="9" priority="4" operator="greaterThan">
      <x:formula>0</x:formula>
    </x:cfRule>
    <x:cfRule type="cellIs" dxfId="8" priority="3" operator="lessThanOrEqual">
      <x:formula>0</x:formula>
    </x:cfRule>
  </x:conditionalFormatting>
  <x:conditionalFormatting sqref="K18 K23 K25 K27 K29 K31 K36 K45 K50 K52 K54 K56 K58 K63">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