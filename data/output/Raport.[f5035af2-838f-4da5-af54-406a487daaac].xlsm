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epos\Remote\GitHub\ILF.Reports.ForProjectManagers\data\input\"/>
    </mc:Choice>
  </mc:AlternateContent>
  <x:bookViews>
    <x:workbookView xWindow="28605" yWindow="-15" windowWidth="15600" windowHeight="7605"/>
  </x:bookViews>
  <x:sheets>
    <x:sheet name="Report" sheetId="1" r:id="rId1"/>
  </x:sheets>
  <x:calcPr calcId="162913" fullCalcOnLoad="1" forceFullCalc="1"/>
</x:workbook>
</file>

<file path=xl/calcChain.xml><?xml version="1.0" encoding="utf-8"?>
<calcChain xmlns="http://schemas.openxmlformats.org/spreadsheetml/2006/main">
  <c r="K19" i="1" l="1"/>
  <c r="J19" i="1"/>
  <c r="M29" i="1"/>
  <c r="O29" i="1" s="1"/>
  <c r="K29" i="1"/>
  <c r="J29" i="1"/>
  <c r="G29" i="1"/>
  <c r="F29" i="1"/>
  <c r="G28" i="1"/>
  <c r="F28" i="1"/>
  <c r="M19" i="1"/>
  <c r="O19" i="1" s="1"/>
  <c r="G19" i="1"/>
  <c r="F19" i="1"/>
  <c r="G18" i="1"/>
  <c r="F18" i="1"/>
  <c r="N29" i="1" l="1"/>
  <c r="N19" i="1"/>
  <c r="K30" i="1" l="1"/>
  <c r="K20" i="1"/>
  <c r="F30" i="1" l="1"/>
  <c r="F27" i="1"/>
  <c r="F20" i="1"/>
  <c r="F17" i="1"/>
  <c r="G30" i="1" l="1"/>
  <c r="G27" i="1"/>
  <c r="G20" i="1"/>
  <c r="G17" i="1"/>
  <c r="M30" i="1" l="1"/>
  <c r="O30" i="1" s="1"/>
  <c r="M20" i="1"/>
  <c r="O20" i="1" s="1"/>
  <c r="J30" i="1" l="1"/>
  <c r="J20" i="1" l="1"/>
  <c r="N30" i="1" l="1"/>
  <c r="N20" i="1" l="1"/>
</calcChain>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<sst xmlns="http://schemas.openxmlformats.org/spreadsheetml/2006/main" count="79" uniqueCount="50">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</sst>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96">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37">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5"/>
  <x:sheetViews>
    <x:sheetView showGridLines="0" tabSelected="1" zoomScale="70" zoomScaleNormal="70" workbookViewId="0">
      <x:selection activeCell="F38" sqref="F38"/>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73" t="s">
        <x:v>5</x:v>
      </x:c>
      <x:c r="C2" s="74"/>
      <x:c r="D2" s="26"/>
      <x:c r="E2" s="4"/>
      <x:c r="F2" s="75" t="s">
        <x:v>12</x:v>
      </x:c>
      <x:c r="G2" s="76"/>
      <x:c r="H2" s="32">
        <x:v>42856</x:v>
      </x:c>
      <x:c r="I2" s="21" t="s">
        <x:v>11</x:v>
      </x:c>
      <x:c r="J2" s="33">
        <x:v>42870</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77" t="s">
        <x:v>4</x:v>
      </x:c>
      <x:c r="G4" s="78"/>
      <x:c r="N4" s="6"/>
    </x:row>
    <x:row r="5" spans="1:16" s="7" customFormat="1" ht="33.75" customHeight="1" thickBot="1" x14ac:dyDescent="0.25">
      <x:c r="A5" s="5"/>
      <x:c r="B5" s="9" t="s">
        <x:v>0</x:v>
      </x:c>
      <x:c r="C5" s="10" t="inlineStr">
        <x:v>29</x:v>
        <x:is>
          <x:t>Project Organization</x:t>
        </x:is>
      </x:c>
      <x:c r="D5" s="13"/>
      <x:c r="E5" s="6"/>
      <x:c r="F5" s="79"/>
      <x:c r="G5" s="80"/>
      <x:c r="H5" s="80"/>
      <x:c r="I5" s="80"/>
      <x:c r="J5" s="80"/>
      <x:c r="K5" s="80"/>
      <x:c r="L5" s="80"/>
      <x:c r="M5" s="80"/>
      <x:c r="N5" s="81"/>
      <x:c r="O5" s="82"/>
    </x:row>
    <x:row r="6" spans="1:16" s="7" customFormat="1" ht="33.75" customHeight="1" thickBot="1" x14ac:dyDescent="0.25">
      <x:c r="A6" s="5"/>
      <x:c r="B6" s="34" t="s">
        <x:v>9</x:v>
      </x:c>
      <x:c r="C6" s="35" t="inlineStr">
        <x:v>29</x:v>
        <x:is>
          <x:t>Project Managers</x:t>
        </x:is>
      </x:c>
      <x:c r="D6" s="27"/>
      <x:c r="E6" s="6"/>
      <x:c r="F6" s="83"/>
      <x:c r="G6" s="84"/>
      <x:c r="H6" s="84"/>
      <x:c r="I6" s="84"/>
      <x:c r="J6" s="84"/>
      <x:c r="K6" s="84"/>
      <x:c r="L6" s="84"/>
      <x:c r="M6" s="84"/>
      <x:c r="N6" s="85"/>
      <x:c r="O6" s="86"/>
    </x:row>
    <x:row r="7" spans="1:16" s="7" customFormat="1" ht="33.75" customHeight="1" thickBot="1" x14ac:dyDescent="0.25">
      <x:c r="A7" s="5"/>
      <x:c r="B7" s="9" t="s">
        <x:v>10</x:v>
      </x:c>
      <x:c r="C7" s="23" t="inlineStr">
        <x:v>29</x:v>
        <x:is>
          <x:t>Project Managers</x:t>
        </x:is>
      </x:c>
      <x:c r="D7" s="27"/>
      <x:c r="E7" s="6"/>
      <x:c r="F7" s="87"/>
      <x:c r="G7" s="88"/>
      <x:c r="H7" s="88"/>
      <x:c r="I7" s="88"/>
      <x:c r="J7" s="88"/>
      <x:c r="K7" s="88"/>
      <x:c r="L7" s="88"/>
      <x:c r="M7" s="88"/>
      <x:c r="N7" s="89"/>
      <x:c r="O7" s="90"/>
    </x:row>
    <x:row r="8" spans="1:16" s="7" customFormat="1" ht="33.75" customHeight="1" x14ac:dyDescent="0.2">
      <x:c r="A8" s="5"/>
      <x:c r="B8" s="9" t="s">
        <x:v>1</x:v>
      </x:c>
      <x:c r="C8" s="10" t="inlineStr">
        <x:v>29</x:v>
        <x:is>
          <x:t>Piotr Klek - Project Managers</x:t>
        </x:is>
      </x:c>
      <x:c r="D8" s="13"/>
      <x:c r="E8" s="6"/>
      <x:c r="F8" s="91" t="s">
        <x:v>38</x:v>
      </x:c>
      <x:c r="G8" s="92"/>
      <x:c r="H8" s="92"/>
      <x:c r="I8" s="92"/>
      <x:c r="J8" s="92"/>
      <x:c r="K8" s="92"/>
      <x:c r="L8" s="92"/>
      <x:c r="M8" s="92"/>
      <x:c r="N8" s="6"/>
    </x:row>
    <x:row r="9" spans="1:16" s="7" customFormat="1" ht="33.75" customHeight="1" thickBot="1" x14ac:dyDescent="0.25">
      <x:c r="A9" s="5"/>
      <x:c r="B9" s="11"/>
      <x:c r="C9" s="24"/>
      <x:c r="D9" s="28"/>
      <x:c r="E9" s="6"/>
      <x:c r="F9" s="93"/>
      <x:c r="G9" s="93"/>
      <x:c r="H9" s="93"/>
      <x:c r="I9" s="93"/>
      <x:c r="J9" s="93"/>
      <x:c r="K9" s="93"/>
      <x:c r="L9" s="93"/>
      <x:c r="M9" s="93"/>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0" t="s">
        <x:v>39</x:v>
      </x:c>
      <x:c r="E14" s="71"/>
      <x:c r="F14" s="71"/>
      <x:c r="G14" s="72"/>
      <x:c r="H14" s="70" t="s">
        <x:v>40</x:v>
      </x:c>
      <x:c r="I14" s="71"/>
      <x:c r="J14" s="71"/>
      <x:c r="K14" s="71"/>
      <x:c r="L14" s="71"/>
      <x:c r="M14" s="71"/>
      <x:c r="N14" s="71"/>
      <x:c r="O14" s="72"/>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Peryt, Paulina</x:t>
        </x:is>
      </x:c>
      <x:c r="D17" s="45" t="n">
        <x:v>25.2</x:v>
      </x:c>
      <x:c r="E17" s="19" t="n">
        <x:v>0</x:v>
      </x:c>
      <x:c r="F17" s="19" t="n">
        <x:f>MAX(D17-E17, 0)</x:f>
        <x:v>1</x:v>
      </x:c>
      <x:c r="G17" s="47" t="n">
        <x:f>IF(D17=0,0,ABS(E17/D17))</x:f>
        <x:v>0.5</x:v>
      </x:c>
      <x:c r="H17" s="52"/>
      <x:c r="I17" s="50"/>
      <x:c r="J17" s="50"/>
      <x:c r="K17" s="51"/>
      <x:c r="L17" s="19" t="n">
        <x:v>25.2</x:v>
      </x:c>
      <x:c r="M17" s="56"/>
      <x:c r="N17" s="50"/>
      <x:c r="O17" s="94"/>
      <x:c r="P17" s="29"/>
      <x:c r="Q17" s="30"/>
      <x:c r="R17" s="31"/>
      <x:c r="S17" s="31"/>
    </x:row>
    <x:row r="18" spans="1:19" s="7" customFormat="1" hidden="1" outlineLevel="2" collapsed="1" x14ac:dyDescent="0.2">
      <x:c r="A18" s="5"/>
      <x:c r="B18" s="45" t="inlineStr">
        <x:is>
          <x:t>E872</x:t>
        </x:is>
      </x:c>
      <x:c r="C18" s="46" t="inlineStr">
        <x:is>
          <x:t>Wrobel, Monika</x:t>
        </x:is>
      </x:c>
      <x:c r="D18" s="45" t="n">
        <x:v>33.6</x:v>
      </x:c>
      <x:c r="E18" s="19" t="n">
        <x:v>0</x:v>
      </x:c>
      <x:c r="F18" s="19" t="n">
        <x:f>MAX(D18-E18, 0)</x:f>
        <x:v>1</x:v>
      </x:c>
      <x:c r="G18" s="47" t="n">
        <x:f>IF(D18=0,0,ABS(E18/D18))</x:f>
        <x:v>0.5</x:v>
      </x:c>
      <x:c r="H18" s="53"/>
      <x:c r="I18" s="54"/>
      <x:c r="J18" s="54"/>
      <x:c r="K18" s="55"/>
      <x:c r="L18" s="19" t="n">
        <x:v>84.0</x:v>
      </x:c>
      <x:c r="M18" s="57"/>
      <x:c r="N18" s="54"/>
      <x:c r="O18" s="95"/>
      <x:c r="P18" s="29"/>
      <x:c r="Q18" s="30"/>
      <x:c r="R18" s="31"/>
      <x:c r="S18" s="31"/>
    </x:row>
    <x:row r="19" spans="1:19" s="7" customFormat="1" ht="13.5" outlineLevel="1" thickBot="1" x14ac:dyDescent="0.25">
      <x:c r="A19" s="5"/>
      <x:c r="B19" s="63" t="inlineStr">
        <x:v>49</x:v>
        <x:is>
          <x:t>Total E872</x:t>
        </x:is>
      </x:c>
      <x:c r="C19" s="64"/>
      <x:c r="D19" s="63" t="n">
        <x:v>58.8</x:v>
      </x:c>
      <x:c r="E19" s="65" t="n">
        <x:v>0</x:v>
      </x:c>
      <x:c r="F19" s="65" t="n">
        <x:f>MAX(D19-E19, 0)</x:f>
        <x:v>0</x:v>
      </x:c>
      <x:c r="G19" s="66" t="n">
        <x:f>IF(D19=0,0,ABS(E19/D19))</x:f>
        <x:v>0</x:v>
      </x:c>
      <x:c r="H19" s="63" t="n">
        <x:v>22.8</x:v>
      </x:c>
      <x:c r="I19" s="65" t="n">
        <x:v>951.75</x:v>
      </x:c>
      <x:c r="J19" s="67" t="n">
        <x:f>IF(H19=0,"No plan at start",I19/H19)</x:f>
        <x:v>0.5</x:v>
      </x:c>
      <x:c r="K19" s="65" t="n">
        <x:f>MAX(H19-I19, 0)</x:f>
        <x:v>1</x:v>
      </x:c>
      <x:c r="L19" s="65" t="n">
        <x:v>109.2</x:v>
      </x:c>
      <x:c r="M19" s="65" t="n">
        <x:f>I19+L19</x:f>
        <x:v>6</x:v>
      </x:c>
      <x:c r="N19" s="65" t="n">
        <x:f>M19+H19</x:f>
        <x:v>4</x:v>
      </x:c>
      <x:c r="O19" s="66" t="n">
        <x:f>IF(H19=0,"No plan at start",M19/H19)</x:f>
        <x:v>3</x:v>
      </x:c>
      <x:c r="P19" s="29"/>
      <x:c r="Q19" s="30"/>
      <x:c r="R19" s="31"/>
      <x:c r="S19" s="31"/>
    </x:row>
    <x:row r="20" x14ac:dyDescent="0.2"/>
    <x:row r="21" x14ac:dyDescent="0.2"/>
    <x:row r="22" spans="1:19" x14ac:dyDescent="0.2">
      <x:c r="B22" s="14" t="s">
        <x:v>30</x:v>
      </x:c>
      <x:c r="C22" s="15"/>
      <x:c r="D22" s="15"/>
      <x:c r="E22" s="15"/>
      <x:c r="F22" s="16"/>
      <x:c r="G22" s="16"/>
      <x:c r="H22" s="17"/>
      <x:c r="I22" s="7"/>
      <x:c r="J22" s="7"/>
      <x:c r="K22" s="18"/>
      <x:c r="L22" s="7"/>
      <x:c r="M22" s="25"/>
      <x:c r="N22" s="7"/>
      <x:c r="O22" s="7"/>
    </x:row>
    <x:row r="23" spans="1:19" ht="13.5" thickBot="1" x14ac:dyDescent="0.25">
      <x:c r="B23" s="7"/>
      <x:c r="C23" s="7"/>
      <x:c r="D23" s="7"/>
      <x:c r="E23" s="7"/>
      <x:c r="F23" s="7"/>
      <x:c r="G23" s="7"/>
      <x:c r="H23" s="7"/>
      <x:c r="I23" s="7"/>
      <x:c r="J23" s="7"/>
      <x:c r="K23" s="7"/>
      <x:c r="L23" s="7"/>
      <x:c r="M23" s="7"/>
      <x:c r="N23" s="7"/>
      <x:c r="O23" s="7"/>
    </x:row>
    <x:row r="24" spans="1:19" x14ac:dyDescent="0.2">
      <x:c r="B24" s="48"/>
      <x:c r="C24" s="49"/>
      <x:c r="D24" s="70" t="s">
        <x:v>39</x:v>
      </x:c>
      <x:c r="E24" s="71"/>
      <x:c r="F24" s="71"/>
      <x:c r="G24" s="72"/>
      <x:c r="H24" s="70" t="s">
        <x:v>40</x:v>
      </x:c>
      <x:c r="I24" s="71"/>
      <x:c r="J24" s="71"/>
      <x:c r="K24" s="71"/>
      <x:c r="L24" s="71"/>
      <x:c r="M24" s="71"/>
      <x:c r="N24" s="71"/>
      <x:c r="O24" s="72"/>
    </x:row>
    <x:row r="25" spans="1:19" x14ac:dyDescent="0.2">
      <x:c r="B25" s="68"/>
      <x:c r="C25" s="69"/>
      <x:c r="D25" s="36" t="s">
        <x:v>2</x:v>
      </x:c>
      <x:c r="E25" s="38" t="s">
        <x:v>3</x:v>
      </x:c>
      <x:c r="F25" s="38" t="s">
        <x:v>44</x:v>
      </x:c>
      <x:c r="G25" s="37" t="s">
        <x:v>41</x:v>
      </x:c>
      <x:c r="H25" s="36" t="s">
        <x:v>20</x:v>
      </x:c>
      <x:c r="I25" s="38" t="s">
        <x:v>34</x:v>
      </x:c>
      <x:c r="J25" s="39" t="s">
        <x:v>35</x:v>
      </x:c>
      <x:c r="K25" s="39" t="s">
        <x:v>36</x:v>
      </x:c>
      <x:c r="L25" s="38" t="s">
        <x:v>19</x:v>
      </x:c>
      <x:c r="M25" s="38" t="s">
        <x:v>37</x:v>
      </x:c>
      <x:c r="N25" s="38" t="s">
        <x:v>22</x:v>
      </x:c>
      <x:c r="O25" s="37" t="s">
        <x:v>23</x:v>
      </x:c>
    </x:row>
    <x:row r="26" spans="1:19" ht="76.5" x14ac:dyDescent="0.2">
      <x:c r="B26" s="40" t="s">
        <x:v>14</x:v>
      </x:c>
      <x:c r="C26" s="41" t="s">
        <x:v>28</x:v>
      </x:c>
      <x:c r="D26" s="40" t="s">
        <x:v>45</x:v>
      </x:c>
      <x:c r="E26" s="42" t="s">
        <x:v>15</x:v>
      </x:c>
      <x:c r="F26" s="42" t="s">
        <x:v>42</x:v>
      </x:c>
      <x:c r="G26" s="41" t="s">
        <x:v>43</x:v>
      </x:c>
      <x:c r="H26" s="40" t="s">
        <x:v>46</x:v>
      </x:c>
      <x:c r="I26" s="42" t="s">
        <x:v>31</x:v>
      </x:c>
      <x:c r="J26" s="43" t="s">
        <x:v>47</x:v>
      </x:c>
      <x:c r="K26" s="43" t="s">
        <x:v>17</x:v>
      </x:c>
      <x:c r="L26" s="42" t="s">
        <x:v>48</x:v>
      </x:c>
      <x:c r="M26" s="42" t="s">
        <x:v>32</x:v>
      </x:c>
      <x:c r="N26" s="42" t="s">
        <x:v>33</x:v>
      </x:c>
      <x:c r="O26" s="41" t="s">
        <x:v>24</x:v>
      </x:c>
    </x:row>
    <x:row r="27" spans="1:19" hidden="1" outlineLevel="2" collapsed="1" x14ac:dyDescent="0.2">
      <x:c r="B27" s="45" t="inlineStr">
        <x:is>
          <x:t>E872</x:t>
        </x:is>
      </x:c>
      <x:c r="C27" s="46" t="inlineStr">
        <x:is>
          <x:t>Peryt, Paulina</x:t>
        </x:is>
      </x:c>
      <x:c r="D27" s="45" t="n">
        <x:v>655.2</x:v>
      </x:c>
      <x:c r="E27" s="19" t="n">
        <x:v>0</x:v>
      </x:c>
      <x:c r="F27" s="19" t="n">
        <x:f>MAX(D27-E27, 0)</x:f>
        <x:v>1</x:v>
      </x:c>
      <x:c r="G27" s="47" t="n">
        <x:f>IF(D27=0,0,ABS(E27/D27))</x:f>
        <x:v>0.5</x:v>
      </x:c>
      <x:c r="H27" s="52"/>
      <x:c r="I27" s="50"/>
      <x:c r="J27" s="50"/>
      <x:c r="K27" s="51"/>
      <x:c r="L27" s="19" t="n">
        <x:v>655.2</x:v>
      </x:c>
      <x:c r="M27" s="50"/>
      <x:c r="N27" s="50"/>
      <x:c r="O27" s="94"/>
    </x:row>
    <x:row r="28" spans="1:19" hidden="1" outlineLevel="2" collapsed="1" x14ac:dyDescent="0.2">
      <x:c r="B28" s="45" t="inlineStr">
        <x:is>
          <x:t>E872</x:t>
        </x:is>
      </x:c>
      <x:c r="C28" s="46" t="inlineStr">
        <x:is>
          <x:t>Wrobel, Monika</x:t>
        </x:is>
      </x:c>
      <x:c r="D28" s="45" t="n">
        <x:v>873.6</x:v>
      </x:c>
      <x:c r="E28" s="19" t="n">
        <x:v>0</x:v>
      </x:c>
      <x:c r="F28" s="19" t="n">
        <x:f>MAX(D28-E28, 0)</x:f>
        <x:v>1</x:v>
      </x:c>
      <x:c r="G28" s="47" t="n">
        <x:f>IF(D28=0,0,ABS(E28/D28))</x:f>
        <x:v>0.5</x:v>
      </x:c>
      <x:c r="H28" s="53"/>
      <x:c r="I28" s="54"/>
      <x:c r="J28" s="54"/>
      <x:c r="K28" s="55"/>
      <x:c r="L28" s="19" t="n">
        <x:v>2184.0</x:v>
      </x:c>
      <x:c r="M28" s="54"/>
      <x:c r="N28" s="54"/>
      <x:c r="O28" s="95"/>
    </x:row>
    <x:row r="29" spans="1:19" ht="13.5" outlineLevel="1" thickBot="1" x14ac:dyDescent="0.25">
      <x:c r="B29" s="63" t="inlineStr">
        <x:v>49</x:v>
        <x:is>
          <x:t>Total E872</x:t>
        </x:is>
      </x:c>
      <x:c r="C29" s="64"/>
      <x:c r="D29" s="63" t="n">
        <x:v>1528.8</x:v>
      </x:c>
      <x:c r="E29" s="65" t="n">
        <x:v>0</x:v>
      </x:c>
      <x:c r="F29" s="65" t="n">
        <x:f>MAX(D29-E29, 0)</x:f>
        <x:v>0</x:v>
      </x:c>
      <x:c r="G29" s="66" t="n">
        <x:f>IF(D29=0,0,ABS(E29/D29))</x:f>
        <x:v>4</x:v>
      </x:c>
      <x:c r="H29" s="63" t="n">
        <x:v>0</x:v>
      </x:c>
      <x:c r="I29" s="65" t="n">
        <x:v>24693.6422023809524</x:v>
      </x:c>
      <x:c r="J29" s="67" t="n">
        <x:f>IF(H29=0,"No plan at start",I29/H29)</x:f>
        <x:v>0.5</x:v>
      </x:c>
      <x:c r="K29" s="65" t="n">
        <x:f>MAX(H29-I29, 0)</x:f>
        <x:v>1</x:v>
      </x:c>
      <x:c r="L29" s="65" t="n">
        <x:v>2839.2</x:v>
      </x:c>
      <x:c r="M29" s="65" t="n">
        <x:f>I29+L29</x:f>
        <x:v>6</x:v>
      </x:c>
      <x:c r="N29" s="65" t="n">
        <x:f>M29+H29</x:f>
        <x:v>4</x:v>
      </x:c>
      <x:c r="O29" s="66" t="n">
        <x:f>IF(H29=0,"No plan at start",M29/H29)</x:f>
        <x:v>3</x:v>
      </x:c>
    </x:row>
    <x:row r="30" x14ac:dyDescent="0.2"/>
  </x:sheetData>
  <x:mergeCells count="9">
    <x:mergeCell ref="D14:G14"/>
    <x:mergeCell ref="H14:O14"/>
    <x:mergeCell ref="D24:G24"/>
    <x:mergeCell ref="H24:O24"/>
    <x:mergeCell ref="B2:C2"/>
    <x:mergeCell ref="F2:G2"/>
    <x:mergeCell ref="F4:G4"/>
    <x:mergeCell ref="F5:O7"/>
    <x:mergeCell ref="F8:M9"/>
  </x:mergeCells>
  <x:conditionalFormatting sqref="U12">
    <x:cfRule type="iconSet" priority="100">
      <x:iconSet iconSet="3Symbols" showValue="0" reverse="1">
        <x:cfvo type="percent" val="0"/>
        <x:cfvo type="num" val="1"/>
        <x:cfvo type="num" val="1.05"/>
      </x:iconSet>
    </x:cfRule>
  </x:conditionalFormatting>
  <x:conditionalFormatting sqref="U16">
    <x:cfRule type="iconSet" priority="99">
      <x:iconSet iconSet="3Symbols" showValue="0" reverse="1">
        <x:cfvo type="percent" val="0"/>
        <x:cfvo type="num" val="1"/>
        <x:cfvo type="num" val="1.05"/>
      </x:iconSet>
    </x:cfRule>
  </x:conditionalFormatting>
  <x:conditionalFormatting sqref="Q17:Q19">
    <x:cfRule type="iconSet" priority="97">
      <x:iconSet iconSet="3Symbols" showValue="0" reverse="1">
        <x:cfvo type="percent" val="0"/>
        <x:cfvo type="num" val="1"/>
        <x:cfvo type="num" val="1.05"/>
      </x:iconSet>
    </x:cfRule>
  </x:conditionalFormatting>
  <x:conditionalFormatting sqref="P16">
    <x:cfRule type="iconSet" priority="89">
      <x:iconSet iconSet="3Symbols" showValue="0" reverse="1">
        <x:cfvo type="percent" val="0"/>
        <x:cfvo type="num" val="1"/>
        <x:cfvo type="num" val="1.05"/>
      </x:iconSet>
    </x:cfRule>
  </x:conditionalFormatting>
  <x:conditionalFormatting sqref="F17">
    <x:cfRule type="cellIs" dxfId="36" priority="79" operator="greaterThan">
      <x:formula>0</x:formula>
    </x:cfRule>
    <x:cfRule type="cellIs" dxfId="35" priority="80" operator="lessThanOrEqual">
      <x:formula>0</x:formula>
    </x:cfRule>
  </x:conditionalFormatting>
  <x:conditionalFormatting sqref="U17:U19">
    <x:cfRule type="iconSet" priority="102">
      <x:iconSet iconSet="3Symbols" showValue="0" reverse="1">
        <x:cfvo type="percent" val="0"/>
        <x:cfvo type="num" val="1"/>
        <x:cfvo type="num" val="1.05"/>
      </x:iconSet>
    </x:cfRule>
  </x:conditionalFormatting>
  <x:conditionalFormatting sqref="P17:P19">
    <x:cfRule type="iconSet" priority="103">
      <x:iconSet iconSet="3Symbols" showValue="0" reverse="1">
        <x:cfvo type="percent" val="0"/>
        <x:cfvo type="num" val="1"/>
        <x:cfvo type="num" val="1.05"/>
      </x:iconSet>
    </x:cfRule>
  </x:conditionalFormatting>
  <x:conditionalFormatting sqref="Q20">
    <x:cfRule type="iconSet" priority="59">
      <x:iconSet iconSet="3Symbols" showValue="0" reverse="1">
        <x:cfvo type="percent" val="0"/>
        <x:cfvo type="num" val="1"/>
        <x:cfvo type="num" val="1.05"/>
      </x:iconSet>
    </x:cfRule>
  </x:conditionalFormatting>
  <x:conditionalFormatting sqref="N20">
    <x:cfRule type="cellIs" dxfId="34" priority="57" operator="lessThan">
      <x:formula>0</x:formula>
    </x:cfRule>
    <x:cfRule type="cellIs" dxfId="33" priority="58" operator="greaterThan">
      <x:formula>0</x:formula>
    </x:cfRule>
  </x:conditionalFormatting>
  <x:conditionalFormatting sqref="U20">
    <x:cfRule type="iconSet" priority="60">
      <x:iconSet iconSet="3Symbols" showValue="0" reverse="1">
        <x:cfvo type="percent" val="0"/>
        <x:cfvo type="num" val="1"/>
        <x:cfvo type="num" val="1.05"/>
      </x:iconSet>
    </x:cfRule>
  </x:conditionalFormatting>
  <x:conditionalFormatting sqref="P20">
    <x:cfRule type="iconSet" priority="61">
      <x:iconSet iconSet="3Symbols" showValue="0" reverse="1">
        <x:cfvo type="percent" val="0"/>
        <x:cfvo type="num" val="1"/>
        <x:cfvo type="num" val="1.05"/>
      </x:iconSet>
    </x:cfRule>
  </x:conditionalFormatting>
  <x:conditionalFormatting sqref="N30">
    <x:cfRule type="cellIs" dxfId="32" priority="49" operator="lessThan">
      <x:formula>0</x:formula>
    </x:cfRule>
    <x:cfRule type="cellIs" dxfId="31" priority="50" operator="greaterThan">
      <x:formula>0</x:formula>
    </x:cfRule>
  </x:conditionalFormatting>
  <x:conditionalFormatting sqref="F20">
    <x:cfRule type="cellIs" dxfId="30" priority="39" operator="greaterThan">
      <x:formula>0</x:formula>
    </x:cfRule>
    <x:cfRule type="cellIs" dxfId="29" priority="40" operator="lessThanOrEqual">
      <x:formula>0</x:formula>
    </x:cfRule>
  </x:conditionalFormatting>
  <x:conditionalFormatting sqref="F27">
    <x:cfRule type="cellIs" dxfId="28" priority="37" operator="greaterThan">
      <x:formula>0</x:formula>
    </x:cfRule>
    <x:cfRule type="cellIs" dxfId="27" priority="38" operator="lessThanOrEqual">
      <x:formula>0</x:formula>
    </x:cfRule>
  </x:conditionalFormatting>
  <x:conditionalFormatting sqref="F30">
    <x:cfRule type="cellIs" dxfId="26" priority="35" operator="greaterThan">
      <x:formula>0</x:formula>
    </x:cfRule>
    <x:cfRule type="cellIs" dxfId="25" priority="36" operator="lessThanOrEqual">
      <x:formula>0</x:formula>
    </x:cfRule>
  </x:conditionalFormatting>
  <x:conditionalFormatting sqref="G17">
    <x:cfRule type="cellIs" dxfId="24" priority="33" operator="greaterThanOrEqual">
      <x:formula>1</x:formula>
    </x:cfRule>
  </x:conditionalFormatting>
  <x:conditionalFormatting sqref="G20">
    <x:cfRule type="cellIs" dxfId="23" priority="32" operator="greaterThanOrEqual">
      <x:formula>1</x:formula>
    </x:cfRule>
  </x:conditionalFormatting>
  <x:conditionalFormatting sqref="G27">
    <x:cfRule type="cellIs" dxfId="22" priority="31" operator="greaterThanOrEqual">
      <x:formula>1</x:formula>
    </x:cfRule>
  </x:conditionalFormatting>
  <x:conditionalFormatting sqref="G30">
    <x:cfRule type="cellIs" dxfId="21" priority="30" operator="greaterThanOrEqual">
      <x:formula>1</x:formula>
    </x:cfRule>
  </x:conditionalFormatting>
  <x:conditionalFormatting sqref="K20">
    <x:cfRule type="cellIs" dxfId="20" priority="26" operator="greaterThan">
      <x:formula>0</x:formula>
    </x:cfRule>
    <x:cfRule type="cellIs" dxfId="19" priority="27" operator="lessThanOrEqual">
      <x:formula>0</x:formula>
    </x:cfRule>
  </x:conditionalFormatting>
  <x:conditionalFormatting sqref="K30">
    <x:cfRule type="cellIs" dxfId="18" priority="22" operator="greaterThan">
      <x:formula>0</x:formula>
    </x:cfRule>
    <x:cfRule type="cellIs" dxfId="17" priority="23" operator="lessThanOrEqual">
      <x:formula>0</x:formula>
    </x:cfRule>
  </x:conditionalFormatting>
  <x:conditionalFormatting sqref="N19">
    <x:cfRule type="cellIs" dxfId="16" priority="20" operator="lessThan">
      <x:formula>0</x:formula>
    </x:cfRule>
    <x:cfRule type="cellIs" dxfId="15" priority="21" operator="greaterThan">
      <x:formula>0</x:formula>
    </x:cfRule>
  </x:conditionalFormatting>
  <x:conditionalFormatting sqref="F18:F19">
    <x:cfRule type="cellIs" dxfId="14" priority="18" operator="greaterThan">
      <x:formula>0</x:formula>
    </x:cfRule>
    <x:cfRule type="cellIs" dxfId="13" priority="19" operator="lessThanOrEqual">
      <x:formula>0</x:formula>
    </x:cfRule>
  </x:conditionalFormatting>
  <x:conditionalFormatting sqref="G18:G19">
    <x:cfRule type="cellIs" dxfId="12" priority="17" operator="greaterThanOrEqual">
      <x:formula>1</x:formula>
    </x:cfRule>
  </x:conditionalFormatting>
  <x:conditionalFormatting sqref="K19">
    <x:cfRule type="cellIs" dxfId="11" priority="15" operator="greaterThan">
      <x:formula>0</x:formula>
    </x:cfRule>
    <x:cfRule type="cellIs" dxfId="10" priority="16" operator="lessThanOrEqual">
      <x:formula>0</x:formula>
    </x:cfRule>
  </x:conditionalFormatting>
  <x:conditionalFormatting sqref="F28">
    <x:cfRule type="cellIs" dxfId="9" priority="11" operator="greaterThan">
      <x:formula>0</x:formula>
    </x:cfRule>
    <x:cfRule type="cellIs" dxfId="8" priority="12" operator="lessThanOrEqual">
      <x:formula>0</x:formula>
    </x:cfRule>
  </x:conditionalFormatting>
  <x:conditionalFormatting sqref="G28">
    <x:cfRule type="cellIs" dxfId="7" priority="10" operator="greaterThanOrEqual">
      <x:formula>1</x:formula>
    </x:cfRule>
  </x:conditionalFormatting>
  <x:conditionalFormatting sqref="N29">
    <x:cfRule type="cellIs" dxfId="6" priority="6" operator="lessThan">
      <x:formula>0</x:formula>
    </x:cfRule>
    <x:cfRule type="cellIs" dxfId="5" priority="7" operator="greaterThan">
      <x:formula>0</x:formula>
    </x:cfRule>
  </x:conditionalFormatting>
  <x:conditionalFormatting sqref="F29">
    <x:cfRule type="cellIs" dxfId="4" priority="4" operator="greaterThan">
      <x:formula>0</x:formula>
    </x:cfRule>
    <x:cfRule type="cellIs" dxfId="3" priority="5" operator="lessThanOrEqual">
      <x:formula>0</x:formula>
    </x:cfRule>
  </x:conditionalFormatting>
  <x:conditionalFormatting sqref="G29">
    <x:cfRule type="cellIs" dxfId="2" priority="3" operator="greaterThanOrEqual">
      <x:formula>1</x:formula>
    </x:cfRule>
  </x:conditionalFormatting>
  <x:conditionalFormatting sqref="K29">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2017-06-24T15:53:34Z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SAVE_PATH</vt:lpwstr>
  </property>
</Properties>
</file>