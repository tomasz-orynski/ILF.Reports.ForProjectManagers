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x15ac="http://schemas.microsoft.com/office/spreadsheetml/2010/11/ac" xmlns:r="http://schemas.openxmlformats.org/officeDocument/2006/relationships" xmlns:mc="http://schemas.openxmlformats.org/markup-compatibility/2006" xmlns:x15="http://schemas.microsoft.com/office/spreadsheetml/2010/11/main" xmlns:x="http://schemas.openxmlformats.org/spreadsheetml/2006/main" mc:Ignorable="x15">
  <x:fileVersion appName="xl" lastEdited="6" lowestEdited="5" rupBuild="14420" codeName="{8C4F1C90-05EB-6A55-5F09-09C24B55AC0B}"/>
  <x:workbookPr codeName="workbookTemplate" defaultThemeVersion="124226"/>
  <mc:AlternateContent xmlns:mc="http://schemas.openxmlformats.org/markup-compatibility/2006">
    <mc:Choice Requires="x15">
      <x15ac:absPath xmlns:x15ac="http://schemas.microsoft.com/office/spreadsheetml/2010/11/ac" url="D:\Roboczy\Repozytoria\GitHub\ILF.Reports.ForProjectManagers\data\input\"/>
    </mc:Choice>
  </mc:AlternateContent>
  <x:bookViews>
    <x:workbookView xWindow="3250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<sst xmlns="http://schemas.openxmlformats.org/spreadsheetml/2006/main" count="79" uniqueCount="50">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</sst>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5"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7" fontId="4" fillId="0" borderId="7" xfId="0" applyNumberFormat="1" applyFont="1" applyBorder="1" applyAlignment="1" applyProtection="1">
      <alignment horizontal="center" vertical="center"/>
      <protection locked="0"/>
    </xf>
    <xf numFmtId="167"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6"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6" fontId="23" fillId="5" borderId="18" xfId="0" applyNumberFormat="1" applyFont="1" applyFill="1" applyBorder="1" applyAlignment="1" applyProtection="1">
      <alignment horizontal="center" vertical="center"/>
      <protection locked="0"/>
    </xf>
    <xf numFmtId="166"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6" fontId="23" fillId="5" borderId="22" xfId="0" applyNumberFormat="1" applyFont="1" applyFill="1" applyBorder="1" applyAlignment="1" applyProtection="1">
      <alignment horizontal="center" vertical="center"/>
      <protection locked="0"/>
    </xf>
    <xf numFmtId="166"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election activeCell="K20" sqref="K20"/>
    </x:sheetView>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42916</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Technology</x:t>
        </x:is>
      </x:c>
      <x:c r="D4" s="27"/>
      <x:c r="E4" s="6"/>
      <x:c r="F4" s="84" t="s">
        <x:v>4</x:v>
      </x:c>
      <x:c r="G4" s="85"/>
      <x:c r="N4" s="6"/>
    </x:row>
    <x:row r="5" spans="1:16" s="7" customFormat="1" ht="33.75" customHeight="1" thickBot="1" x14ac:dyDescent="0.25">
      <x:c r="A5" s="5"/>
      <x:c r="B5" s="9" t="s">
        <x:v>0</x:v>
      </x:c>
      <x:c r="C5" s="10" t="inlineStr">
        <x:v>29</x:v>
        <x:is>
          <x:t>Mechanical &amp; Process</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Mechanical</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Piotr Stanislawek</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Krzysztof Tuzel</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N706</x:t>
        </x:is>
      </x:c>
      <x:c r="C17" s="46" t="inlineStr">
        <x:is>
          <x:t>Reszka, Bartlomiej</x:t>
        </x:is>
      </x:c>
      <x:c r="D17" s="45" t="n">
        <x:v>0</x:v>
      </x:c>
      <x:c r="E17" s="19" t="n">
        <x:v>60.5</x:v>
      </x:c>
      <x:c r="F17" s="19" t="n">
        <x:f>MAX(D17-E17, 0)</x:f>
        <x:v>1</x:v>
      </x:c>
      <x:c r="G17" s="47" t="n">
        <x:f>IF(D17=0,0,ABS(E17/D17))</x:f>
        <x:v>0.5</x:v>
      </x:c>
      <x:c r="H17" s="52"/>
      <x:c r="I17" s="50"/>
      <x:c r="J17" s="50"/>
      <x:c r="K17" s="51"/>
      <x:c r="L17" s="19" t="n">
        <x:v>0</x:v>
      </x:c>
      <x:c r="M17" s="56"/>
      <x:c r="N17" s="50"/>
      <x:c r="O17" s="70"/>
      <x:c r="P17" s="29"/>
      <x:c r="Q17" s="30"/>
      <x:c r="R17" s="31"/>
      <x:c r="S17" s="31"/>
    </x:row>
    <x:row r="18" spans="1:19" s="7" customFormat="1" hidden="1" outlineLevel="2" collapsed="1" x14ac:dyDescent="0.2">
      <x:c r="A18" s="5"/>
      <x:c r="B18" s="45" t="inlineStr">
        <x:is>
          <x:t>N706</x:t>
        </x:is>
      </x:c>
      <x:c r="C18" s="46" t="inlineStr">
        <x:is>
          <x:t>Stanislawek, Piotr</x:t>
        </x:is>
      </x:c>
      <x:c r="D18" s="45" t="n">
        <x:v>0</x:v>
      </x:c>
      <x:c r="E18" s="19" t="n">
        <x:v>66</x:v>
      </x:c>
      <x:c r="F18" s="19" t="n">
        <x:f>MAX(D18-E18, 0)</x:f>
        <x:v>1</x:v>
      </x:c>
      <x:c r="G18" s="47" t="n">
        <x:f>IF(D18=0,0,ABS(E18/D18))</x:f>
        <x:v>0.5</x:v>
      </x:c>
      <x:c r="H18" s="72"/>
      <x:c r="I18" s="73"/>
      <x:c r="J18" s="73"/>
      <x:c r="K18" s="74"/>
      <x:c r="L18" s="19" t="n">
        <x:v>0</x:v>
      </x:c>
      <x:c r="M18" s="57"/>
      <x:c r="N18" s="54"/>
      <x:c r="O18" s="71"/>
      <x:c r="P18" s="29"/>
      <x:c r="Q18" s="30"/>
      <x:c r="R18" s="31"/>
      <x:c r="S18" s="31"/>
    </x:row>
    <x:row r="19" spans="1:19" s="7" customFormat="1" ht="13.5" outlineLevel="1" thickBot="1" x14ac:dyDescent="0.25">
      <x:c r="A19" s="5"/>
      <x:c r="B19" s="63" t="inlineStr">
        <x:v>49</x:v>
        <x:is>
          <x:t>Total N706</x:t>
        </x:is>
      </x:c>
      <x:c r="C19" s="64"/>
      <x:c r="D19" s="63" t="n">
        <x:v>0</x:v>
      </x:c>
      <x:c r="E19" s="65" t="n">
        <x:v>126.5</x:v>
      </x:c>
      <x:c r="F19" s="65" t="n">
        <x:f>MAX(D19-E19, 0)</x:f>
        <x:v>0</x:v>
      </x:c>
      <x:c r="G19" s="66" t="n">
        <x:f>IF(D19=0,0,ABS(E19/D19))</x:f>
        <x:v>0</x:v>
      </x:c>
      <x:c r="H19" s="63" t="n">
        <x:v>1226.4</x:v>
      </x:c>
      <x:c r="I19" s="65" t="n">
        <x:v>626.5</x:v>
      </x:c>
      <x:c r="J19" s="67" t="n">
        <x:f>IF(H19=0,"No plan at start",I19/H19)</x:f>
        <x:v>0.5</x:v>
      </x:c>
      <x:c r="K19" s="65" t="n">
        <x:f>MAX(H19-I19, 0)</x:f>
        <x:v>1</x:v>
      </x:c>
      <x:c r="L19" s="65" t="n">
        <x:v>0</x:v>
      </x:c>
      <x:c r="M19" s="65" t="n">
        <x:f>I19+L19</x:f>
        <x:v>6</x:v>
      </x:c>
      <x:c r="N19" s="65" t="n">
        <x:f>M19-H19</x:f>
        <x:v>4</x:v>
      </x:c>
      <x:c r="O19" s="66" t="n">
        <x:f>IF(H19=0,"No plan at start",M19/H19)</x:f>
        <x:v>3</x:v>
      </x:c>
      <x:c r="P19" s="29"/>
      <x:c r="Q19" s="30"/>
      <x:c r="R19" s="31"/>
      <x:c r="S19" s="31"/>
    </x:row>
    <x:row r="20" x14ac:dyDescent="0.2"/>
    <x:row r="21" x14ac:dyDescent="0.2"/>
    <x:row r="22" spans="1:19" x14ac:dyDescent="0.2">
      <x:c r="B22" s="14" t="s">
        <x:v>30</x:v>
      </x:c>
      <x:c r="C22" s="15"/>
      <x:c r="D22" s="15"/>
      <x:c r="E22" s="15"/>
      <x:c r="F22" s="16"/>
      <x:c r="G22" s="16"/>
      <x:c r="H22" s="17"/>
      <x:c r="I22" s="7"/>
      <x:c r="J22" s="7"/>
      <x:c r="K22" s="18"/>
      <x:c r="L22" s="7"/>
      <x:c r="M22" s="25"/>
      <x:c r="N22" s="7"/>
      <x:c r="O22" s="7"/>
    </x:row>
    <x:row r="23" spans="1:19" ht="13.5" thickBot="1" x14ac:dyDescent="0.25">
      <x:c r="B23" s="7"/>
      <x:c r="C23" s="7"/>
      <x:c r="D23" s="7"/>
      <x:c r="E23" s="7"/>
      <x:c r="F23" s="7"/>
      <x:c r="G23" s="7"/>
      <x:c r="H23" s="7"/>
      <x:c r="I23" s="7"/>
      <x:c r="J23" s="7"/>
      <x:c r="K23" s="7"/>
      <x:c r="L23" s="7"/>
      <x:c r="M23" s="7"/>
      <x:c r="N23" s="7"/>
      <x:c r="O23" s="7"/>
    </x:row>
    <x:row r="24" spans="1:19" x14ac:dyDescent="0.2">
      <x:c r="B24" s="48"/>
      <x:c r="C24" s="49"/>
      <x:c r="D24" s="77" t="s">
        <x:v>39</x:v>
      </x:c>
      <x:c r="E24" s="78"/>
      <x:c r="F24" s="78"/>
      <x:c r="G24" s="79"/>
      <x:c r="H24" s="77" t="s">
        <x:v>40</x:v>
      </x:c>
      <x:c r="I24" s="78"/>
      <x:c r="J24" s="78"/>
      <x:c r="K24" s="78"/>
      <x:c r="L24" s="78"/>
      <x:c r="M24" s="78"/>
      <x:c r="N24" s="78"/>
      <x:c r="O24" s="79"/>
    </x:row>
    <x:row r="25" spans="1:19" x14ac:dyDescent="0.2">
      <x:c r="B25" s="68"/>
      <x:c r="C25" s="69"/>
      <x:c r="D25" s="36" t="s">
        <x:v>2</x:v>
      </x:c>
      <x:c r="E25" s="38" t="s">
        <x:v>3</x:v>
      </x:c>
      <x:c r="F25" s="38" t="s">
        <x:v>44</x:v>
      </x:c>
      <x:c r="G25" s="37" t="s">
        <x:v>41</x:v>
      </x:c>
      <x:c r="H25" s="36" t="s">
        <x:v>20</x:v>
      </x:c>
      <x:c r="I25" s="38" t="s">
        <x:v>34</x:v>
      </x:c>
      <x:c r="J25" s="39" t="s">
        <x:v>35</x:v>
      </x:c>
      <x:c r="K25" s="39" t="s">
        <x:v>36</x:v>
      </x:c>
      <x:c r="L25" s="38" t="s">
        <x:v>19</x:v>
      </x:c>
      <x:c r="M25" s="38" t="s">
        <x:v>37</x:v>
      </x:c>
      <x:c r="N25" s="38" t="s">
        <x:v>22</x:v>
      </x:c>
      <x:c r="O25" s="37" t="s">
        <x:v>23</x:v>
      </x:c>
    </x:row>
    <x:row r="26" spans="1:19" ht="76.5" x14ac:dyDescent="0.2">
      <x:c r="B26" s="40" t="s">
        <x:v>14</x:v>
      </x:c>
      <x:c r="C26" s="41" t="s">
        <x:v>28</x:v>
      </x:c>
      <x:c r="D26" s="40" t="s">
        <x:v>45</x:v>
      </x:c>
      <x:c r="E26" s="42" t="s">
        <x:v>15</x:v>
      </x:c>
      <x:c r="F26" s="42" t="s">
        <x:v>42</x:v>
      </x:c>
      <x:c r="G26" s="41" t="s">
        <x:v>43</x:v>
      </x:c>
      <x:c r="H26" s="40" t="s">
        <x:v>46</x:v>
      </x:c>
      <x:c r="I26" s="42" t="s">
        <x:v>31</x:v>
      </x:c>
      <x:c r="J26" s="43" t="s">
        <x:v>47</x:v>
      </x:c>
      <x:c r="K26" s="43" t="s">
        <x:v>17</x:v>
      </x:c>
      <x:c r="L26" s="42" t="s">
        <x:v>48</x:v>
      </x:c>
      <x:c r="M26" s="42" t="s">
        <x:v>32</x:v>
      </x:c>
      <x:c r="N26" s="42" t="s">
        <x:v>33</x:v>
      </x:c>
      <x:c r="O26" s="41" t="s">
        <x:v>24</x:v>
      </x:c>
    </x:row>
    <x:row r="27" spans="1:19" hidden="1" outlineLevel="2" collapsed="1" x14ac:dyDescent="0.2">
      <x:c r="B27" s="45" t="inlineStr">
        <x:is>
          <x:t>N706</x:t>
        </x:is>
      </x:c>
      <x:c r="C27" s="46" t="inlineStr">
        <x:is>
          <x:t>Reszka, Bartlomiej</x:t>
        </x:is>
      </x:c>
      <x:c r="D27" s="45" t="n">
        <x:v>0</x:v>
      </x:c>
      <x:c r="E27" s="19" t="n">
        <x:v>1573</x:v>
      </x:c>
      <x:c r="F27" s="19" t="n">
        <x:f>MAX(D27-E27, 0)</x:f>
        <x:v>1</x:v>
      </x:c>
      <x:c r="G27" s="47" t="n">
        <x:f>IF(D27=0,0,ABS(E27/D27))</x:f>
        <x:v>0.5</x:v>
      </x:c>
      <x:c r="H27" s="52"/>
      <x:c r="I27" s="50"/>
      <x:c r="J27" s="50"/>
      <x:c r="K27" s="51"/>
      <x:c r="L27" s="19" t="n">
        <x:v>0</x:v>
      </x:c>
      <x:c r="M27" s="50"/>
      <x:c r="N27" s="50"/>
      <x:c r="O27" s="70"/>
    </x:row>
    <x:row r="28" spans="1:19" hidden="1" outlineLevel="2" collapsed="1" x14ac:dyDescent="0.2">
      <x:c r="B28" s="45" t="inlineStr">
        <x:is>
          <x:t>N706</x:t>
        </x:is>
      </x:c>
      <x:c r="C28" s="46" t="inlineStr">
        <x:is>
          <x:t>Stanislawek, Piotr</x:t>
        </x:is>
      </x:c>
      <x:c r="D28" s="45" t="n">
        <x:v>0</x:v>
      </x:c>
      <x:c r="E28" s="19" t="n">
        <x:v>1716</x:v>
      </x:c>
      <x:c r="F28" s="19" t="n">
        <x:f>MAX(D28-E28, 0)</x:f>
        <x:v>1</x:v>
      </x:c>
      <x:c r="G28" s="47" t="n">
        <x:f>IF(D28=0,0,ABS(E28/D28))</x:f>
        <x:v>0.5</x:v>
      </x:c>
      <x:c r="H28" s="53"/>
      <x:c r="I28" s="54"/>
      <x:c r="J28" s="54"/>
      <x:c r="K28" s="55"/>
      <x:c r="L28" s="19" t="n">
        <x:v>0</x:v>
      </x:c>
      <x:c r="M28" s="54"/>
      <x:c r="N28" s="54"/>
      <x:c r="O28" s="71"/>
    </x:row>
    <x:row r="29" spans="1:19" ht="13.5" outlineLevel="1" thickBot="1" x14ac:dyDescent="0.25">
      <x:c r="B29" s="63" t="inlineStr">
        <x:v>49</x:v>
        <x:is>
          <x:t>Total N706</x:t>
        </x:is>
      </x:c>
      <x:c r="C29" s="64"/>
      <x:c r="D29" s="63" t="n">
        <x:v>0</x:v>
      </x:c>
      <x:c r="E29" s="65" t="n">
        <x:v>3289</x:v>
      </x:c>
      <x:c r="F29" s="65" t="n">
        <x:f>MAX(D29-E29, 0)</x:f>
        <x:v>0</x:v>
      </x:c>
      <x:c r="G29" s="66" t="n">
        <x:f>IF(D29=0,0,ABS(E29/D29))</x:f>
        <x:v>4</x:v>
      </x:c>
      <x:c r="H29" s="63" t="n">
        <x:v>31886.4</x:v>
      </x:c>
      <x:c r="I29" s="65" t="n">
        <x:v>16363.88</x:v>
      </x:c>
      <x:c r="J29" s="67" t="n">
        <x:f>IF(H29=0,"No plan at start",I29/H29)</x:f>
        <x:v>0.5</x:v>
      </x:c>
      <x:c r="K29" s="65" t="n">
        <x:f>MAX(H29-I29, 0)</x:f>
        <x:v>1</x:v>
      </x:c>
      <x:c r="L29" s="65" t="n">
        <x:v>0</x:v>
      </x:c>
      <x:c r="M29" s="65" t="n">
        <x:f>I29+L29</x:f>
        <x:v>6</x:v>
      </x:c>
      <x:c r="N29" s="65" t="n">
        <x:f>M29-H29</x:f>
        <x:v>4</x:v>
      </x:c>
      <x:c r="O29" s="66" t="n">
        <x:f>IF(H29=0,"No plan at start",M29/H29)</x:f>
        <x:v>3</x:v>
      </x:c>
    </x:row>
    <x:row r="30" x14ac:dyDescent="0.2"/>
  </x:sheetData>
  <x:mergeCells count="9">
    <x:mergeCell ref="B2:C2"/>
    <x:mergeCell ref="F2:G2"/>
    <x:mergeCell ref="F4:G4"/>
    <x:mergeCell ref="F5:O7"/>
    <x:mergeCell ref="F8:M9"/>
    <x:mergeCell ref="D14:G14"/>
    <x:mergeCell ref="H14:O14"/>
    <x:mergeCell ref="D24:G24"/>
    <x:mergeCell ref="H24:O24"/>
  </x:mergeCells>
  <x:conditionalFormatting sqref="F17:F19 F27:F29">
    <x:cfRule type="cellIs" dxfId="11" priority="5" operator="greaterThan">
      <x:formula>0</x:formula>
    </x:cfRule>
    <x:cfRule type="cellIs" dxfId="10" priority="6" operator="lessThanOrEqual">
      <x:formula>0</x:formula>
    </x:cfRule>
  </x:conditionalFormatting>
  <x:conditionalFormatting sqref="N19 N29">
    <x:cfRule type="cellIs" dxfId="9" priority="4" operator="greaterThan">
      <x:formula>0</x:formula>
    </x:cfRule>
    <x:cfRule type="cellIs" dxfId="8" priority="3" operator="lessThanOrEqual">
      <x:formula>0</x:formula>
    </x:cfRule>
  </x:conditionalFormatting>
  <x:conditionalFormatting sqref="K19 K29">
    <x:cfRule type="cellIs" dxfId="7" priority="2" operator="greaterThan">
      <x:formula>0</x:formula>
    </x:cfRule>
    <x:cfRule type="cellIs" dxfId="6" priority="1"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2017-07-12T17:56:21Z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K:\XX02\Monitoring PMT\Raporty kierownicy pionow\1-30.06.2017</vt:lpwstr>
  </op:property>
</op:Properties>
</file>