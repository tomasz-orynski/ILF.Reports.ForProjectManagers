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<sst xmlns="http://schemas.openxmlformats.org/spreadsheetml/2006/main" count="79" uniqueCount="50">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</sst>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Structures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Sysik, Pawel</x:t>
        </x:is>
      </x:c>
      <x:c r="D17" s="45" t="n">
        <x:v>0</x:v>
      </x:c>
      <x:c r="E17" s="19" t="n">
        <x:v>1</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x:v>
      </x:c>
      <x:c r="F18" s="60" t="n">
        <x:f>MAX(D18-E18, 0)</x:f>
        <x:v>1</x:v>
      </x:c>
      <x:c r="G18" s="61" t="n">
        <x:f>IF(D18=0,0,ABS(E18/D18))</x:f>
        <x:v>0.5</x:v>
      </x:c>
      <x:c r="H18" s="58" t="n">
        <x:v>0</x:v>
      </x:c>
      <x:c r="I18" s="60" t="n">
        <x:v>7112.35</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Jozwik, Piotr</x:t>
        </x:is>
      </x:c>
      <x:c r="D19" s="45" t="n">
        <x:v>168</x:v>
      </x:c>
      <x:c r="E19" s="19" t="n">
        <x:v>87.5</x:v>
      </x:c>
      <x:c r="F19" s="19" t="n">
        <x:f>MAX(D19-E19, 0)</x:f>
        <x:v>1</x:v>
      </x:c>
      <x:c r="G19" s="47" t="n">
        <x:f>IF(D19=0,0,ABS(E19/D19))</x:f>
        <x:v>0.5</x:v>
      </x:c>
      <x:c r="H19" s="52"/>
      <x:c r="I19" s="50"/>
      <x:c r="J19" s="50"/>
      <x:c r="K19" s="51"/>
      <x:c r="L19" s="19" t="n">
        <x:v>2467.6</x:v>
      </x:c>
      <x:c r="M19" s="56"/>
      <x:c r="N19" s="50"/>
      <x:c r="O19" s="70"/>
      <x:c r="P19" s="29"/>
      <x:c r="Q19" s="30"/>
      <x:c r="R19" s="31"/>
      <x:c r="S19" s="31"/>
    </x:row>
    <x:row r="20" spans="1:19" s="7" customFormat="1" hidden="1" outlineLevel="2" collapsed="1" x14ac:dyDescent="0.2">
      <x:c r="A20" s="5"/>
      <x:c r="B20" s="45" t="inlineStr">
        <x:is>
          <x:t>E872</x:t>
        </x:is>
      </x:c>
      <x:c r="C20" s="46" t="inlineStr">
        <x:is>
          <x:t>Konstanty, Slawomir</x:t>
        </x:is>
      </x:c>
      <x:c r="D20" s="45" t="n">
        <x:v>117.6</x:v>
      </x:c>
      <x:c r="E20" s="19" t="n">
        <x:v>83.00</x:v>
      </x:c>
      <x:c r="F20" s="19" t="n">
        <x:f>MAX(D20-E20, 0)</x:f>
        <x:v>1</x:v>
      </x:c>
      <x:c r="G20" s="47" t="n">
        <x:f>IF(D20=0,0,ABS(E20/D20))</x:f>
        <x:v>0.5</x:v>
      </x:c>
      <x:c r="H20" s="72"/>
      <x:c r="I20" s="73"/>
      <x:c r="J20" s="73"/>
      <x:c r="K20" s="74"/>
      <x:c r="L20" s="19" t="n">
        <x:v>85.6</x:v>
      </x:c>
      <x:c r="M20" s="75"/>
      <x:c r="N20" s="73"/>
      <x:c r="O20" s="76"/>
      <x:c r="P20" s="29"/>
      <x:c r="Q20" s="30"/>
      <x:c r="R20" s="31"/>
      <x:c r="S20" s="31"/>
    </x:row>
    <x:row r="21" spans="1:19" s="7" customFormat="1" hidden="1" outlineLevel="2" collapsed="1" x14ac:dyDescent="0.2">
      <x:c r="A21" s="5"/>
      <x:c r="B21" s="45" t="inlineStr">
        <x:is>
          <x:t>E872</x:t>
        </x:is>
      </x:c>
      <x:c r="C21" s="46" t="inlineStr">
        <x:is>
          <x:t>Kosiela, Jakub</x:t>
        </x:is>
      </x:c>
      <x:c r="D21" s="45" t="n">
        <x:v>117.6</x:v>
      </x:c>
      <x:c r="E21" s="19" t="n">
        <x:v>0</x:v>
      </x:c>
      <x:c r="F21" s="19" t="n">
        <x:f>MAX(D21-E21, 0)</x:f>
        <x:v>1</x:v>
      </x:c>
      <x:c r="G21" s="47" t="n">
        <x:f>IF(D21=0,0,ABS(E21/D21))</x:f>
        <x:v>0.5</x:v>
      </x:c>
      <x:c r="H21" s="72"/>
      <x:c r="I21" s="73"/>
      <x:c r="J21" s="73"/>
      <x:c r="K21" s="74"/>
      <x:c r="L21" s="19" t="n">
        <x:v>85.6</x:v>
      </x:c>
      <x:c r="M21" s="75"/>
      <x:c r="N21" s="73"/>
      <x:c r="O21" s="76"/>
      <x:c r="P21" s="29"/>
      <x:c r="Q21" s="30"/>
      <x:c r="R21" s="31"/>
      <x:c r="S21" s="31"/>
    </x:row>
    <x:row r="22" spans="1:19" s="7" customFormat="1" hidden="1" outlineLevel="2" collapsed="1" x14ac:dyDescent="0.2">
      <x:c r="A22" s="5"/>
      <x:c r="B22" s="45" t="inlineStr">
        <x:is>
          <x:t>E872</x:t>
        </x:is>
      </x:c>
      <x:c r="C22" s="46" t="inlineStr">
        <x:is>
          <x:t>Metrak, Andrzej</x:t>
        </x:is>
      </x:c>
      <x:c r="D22" s="45" t="n">
        <x:v>117.6</x:v>
      </x:c>
      <x:c r="E22" s="19" t="n">
        <x:v>69.5</x:v>
      </x:c>
      <x:c r="F22" s="19" t="n">
        <x:f>MAX(D22-E22, 0)</x:f>
        <x:v>1</x:v>
      </x:c>
      <x:c r="G22" s="47" t="n">
        <x:f>IF(D22=0,0,ABS(E22/D22))</x:f>
        <x:v>0.5</x:v>
      </x:c>
      <x:c r="H22" s="72"/>
      <x:c r="I22" s="73"/>
      <x:c r="J22" s="73"/>
      <x:c r="K22" s="74"/>
      <x:c r="L22" s="19" t="n">
        <x:v>154.4</x:v>
      </x:c>
      <x:c r="M22" s="75"/>
      <x:c r="N22" s="73"/>
      <x:c r="O22" s="76"/>
      <x:c r="P22" s="29"/>
      <x:c r="Q22" s="30"/>
      <x:c r="R22" s="31"/>
      <x:c r="S22" s="31"/>
    </x:row>
    <x:row r="23" spans="1:19" s="7" customFormat="1" hidden="1" outlineLevel="2" collapsed="1" x14ac:dyDescent="0.2">
      <x:c r="A23" s="5"/>
      <x:c r="B23" s="45" t="inlineStr">
        <x:is>
          <x:t>E872</x:t>
        </x:is>
      </x:c>
      <x:c r="C23" s="46" t="inlineStr">
        <x:is>
          <x:t>Orzol, Rafal</x:t>
        </x:is>
      </x:c>
      <x:c r="D23" s="45" t="n">
        <x:v>117.6</x:v>
      </x:c>
      <x:c r="E23" s="19" t="n">
        <x:v>40.50</x:v>
      </x:c>
      <x:c r="F23" s="19" t="n">
        <x:f>MAX(D23-E23, 0)</x:f>
        <x:v>1</x:v>
      </x:c>
      <x:c r="G23" s="47" t="n">
        <x:f>IF(D23=0,0,ABS(E23/D23))</x:f>
        <x:v>0.5</x:v>
      </x:c>
      <x:c r="H23" s="72"/>
      <x:c r="I23" s="73"/>
      <x:c r="J23" s="73"/>
      <x:c r="K23" s="74"/>
      <x:c r="L23" s="19" t="n">
        <x:v>136.8</x:v>
      </x:c>
      <x:c r="M23" s="75"/>
      <x:c r="N23" s="73"/>
      <x:c r="O23" s="76"/>
      <x:c r="P23" s="29"/>
      <x:c r="Q23" s="30"/>
      <x:c r="R23" s="31"/>
      <x:c r="S23" s="31"/>
    </x:row>
    <x:row r="24" spans="1:19" s="7" customFormat="1" hidden="1" outlineLevel="2" collapsed="1" x14ac:dyDescent="0.2">
      <x:c r="A24" s="5"/>
      <x:c r="B24" s="45" t="inlineStr">
        <x:is>
          <x:t>E872</x:t>
        </x:is>
      </x:c>
      <x:c r="C24" s="46" t="inlineStr">
        <x:is>
          <x:t>Suminska, Aleksandra</x:t>
        </x:is>
      </x:c>
      <x:c r="D24" s="45" t="n">
        <x:v>0</x:v>
      </x:c>
      <x:c r="E24" s="19" t="n">
        <x:v>57.25</x:v>
      </x:c>
      <x:c r="F24" s="19" t="n">
        <x:f>MAX(D24-E24, 0)</x:f>
        <x:v>1</x:v>
      </x:c>
      <x:c r="G24" s="47" t="n">
        <x:f>IF(D24=0,0,ABS(E24/D24))</x:f>
        <x:v>0.5</x:v>
      </x:c>
      <x:c r="H24" s="72"/>
      <x:c r="I24" s="73"/>
      <x:c r="J24" s="73"/>
      <x:c r="K24" s="74"/>
      <x:c r="L24" s="19" t="n">
        <x:v>0</x:v>
      </x:c>
      <x:c r="M24" s="75"/>
      <x:c r="N24" s="73"/>
      <x:c r="O24" s="76"/>
      <x:c r="P24" s="29"/>
      <x:c r="Q24" s="30"/>
      <x:c r="R24" s="31"/>
      <x:c r="S24" s="31"/>
    </x:row>
    <x:row r="25" spans="1:19" s="7" customFormat="1" hidden="1" outlineLevel="2" collapsed="1" x14ac:dyDescent="0.2">
      <x:c r="A25" s="5"/>
      <x:c r="B25" s="45" t="inlineStr">
        <x:is>
          <x:t>E872</x:t>
        </x:is>
      </x:c>
      <x:c r="C25" s="46" t="inlineStr">
        <x:is>
          <x:t>Waszczak, Bartosz</x:t>
        </x:is>
      </x:c>
      <x:c r="D25" s="45" t="n">
        <x:v>33.6</x:v>
      </x:c>
      <x:c r="E25" s="19" t="n">
        <x:v>80.75</x:v>
      </x:c>
      <x:c r="F25" s="19" t="n">
        <x:f>MAX(D25-E25, 0)</x:f>
        <x:v>1</x:v>
      </x:c>
      <x:c r="G25" s="47" t="n">
        <x:f>IF(D25=0,0,ABS(E25/D25))</x:f>
        <x:v>0.5</x:v>
      </x:c>
      <x:c r="H25" s="72"/>
      <x:c r="I25" s="73"/>
      <x:c r="J25" s="73"/>
      <x:c r="K25" s="74"/>
      <x:c r="L25" s="19" t="n">
        <x:v>51.2</x:v>
      </x:c>
      <x:c r="M25" s="75"/>
      <x:c r="N25" s="73"/>
      <x:c r="O25" s="76"/>
      <x:c r="P25" s="29"/>
      <x:c r="Q25" s="30"/>
      <x:c r="R25" s="31"/>
      <x:c r="S25" s="31"/>
    </x:row>
    <x:row r="26" spans="1:19" s="7" customFormat="1" hidden="1" outlineLevel="2" collapsed="1" x14ac:dyDescent="0.2">
      <x:c r="A26" s="5"/>
      <x:c r="B26" s="45" t="inlineStr">
        <x:is>
          <x:t>E872</x:t>
        </x:is>
      </x:c>
      <x:c r="C26" s="46" t="inlineStr">
        <x:is>
          <x:t>Wieclawski, Piotr</x:t>
        </x:is>
      </x:c>
      <x:c r="D26" s="45" t="n">
        <x:v>168</x:v>
      </x:c>
      <x:c r="E26" s="19" t="n">
        <x:v>0</x:v>
      </x:c>
      <x:c r="F26" s="19" t="n">
        <x:f>MAX(D26-E26, 0)</x:f>
        <x:v>1</x:v>
      </x:c>
      <x:c r="G26" s="47" t="n">
        <x:f>IF(D26=0,0,ABS(E26/D26))</x:f>
        <x:v>0.5</x:v>
      </x:c>
      <x:c r="H26" s="72"/>
      <x:c r="I26" s="73"/>
      <x:c r="J26" s="73"/>
      <x:c r="K26" s="74"/>
      <x:c r="L26" s="19" t="n">
        <x:v>84</x:v>
      </x:c>
      <x:c r="M26" s="57"/>
      <x:c r="N26" s="54"/>
      <x:c r="O26" s="71"/>
      <x:c r="P26" s="29"/>
      <x:c r="Q26" s="30"/>
      <x:c r="R26" s="31"/>
      <x:c r="S26" s="31"/>
    </x:row>
    <x:row r="27" spans="1:19" s="7" customFormat="1" outlineLevel="1" x14ac:dyDescent="0.2">
      <x:c r="A27" s="5"/>
      <x:c r="B27" s="58" t="inlineStr">
        <x:v>49</x:v>
        <x:is>
          <x:t>Total E872</x:t>
        </x:is>
      </x:c>
      <x:c r="C27" s="59"/>
      <x:c r="D27" s="58" t="n">
        <x:v>840.0</x:v>
      </x:c>
      <x:c r="E27" s="60" t="n">
        <x:v>418.50</x:v>
      </x:c>
      <x:c r="F27" s="60" t="n">
        <x:f>MAX(D27-E27, 0)</x:f>
        <x:v>1</x:v>
      </x:c>
      <x:c r="G27" s="61" t="n">
        <x:f>IF(D27=0,0,ABS(E27/D27))</x:f>
        <x:v>0.5</x:v>
      </x:c>
      <x:c r="H27" s="58" t="n">
        <x:v>0</x:v>
      </x:c>
      <x:c r="I27" s="60" t="n">
        <x:v>21560.25</x:v>
      </x:c>
      <x:c r="J27" s="62" t="n">
        <x:f>IF(H27=0,"No plan at start",I27/H27)</x:f>
        <x:v>2</x:v>
      </x:c>
      <x:c r="K27" s="60" t="n">
        <x:f>MAX(H27-I27, 0)</x:f>
        <x:v>0</x:v>
      </x:c>
      <x:c r="L27" s="60" t="n">
        <x:v>3065.2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F236</x:t>
        </x:is>
      </x:c>
      <x:c r="C28" s="46" t="inlineStr">
        <x:is>
          <x:t>Metrak, Andrzej</x:t>
        </x:is>
      </x:c>
      <x:c r="D28" s="45" t="n">
        <x:v>8</x:v>
      </x:c>
      <x:c r="E28" s="19" t="n">
        <x:v>0</x:v>
      </x:c>
      <x:c r="F28" s="19" t="n">
        <x:f>MAX(D28-E28, 0)</x:f>
        <x:v>1</x:v>
      </x:c>
      <x:c r="G28" s="47" t="n">
        <x:f>IF(D28=0,0,ABS(E28/D28))</x:f>
        <x:v>0.5</x:v>
      </x:c>
      <x:c r="H28" s="52"/>
      <x:c r="I28" s="50"/>
      <x:c r="J28" s="50"/>
      <x:c r="K28" s="51"/>
      <x:c r="L28" s="19" t="n">
        <x:v>0</x:v>
      </x:c>
      <x:c r="M28" s="56"/>
      <x:c r="N28" s="50"/>
      <x:c r="O28" s="70"/>
      <x:c r="P28" s="29"/>
      <x:c r="Q28" s="30"/>
      <x:c r="R28" s="31"/>
      <x:c r="S28" s="31"/>
    </x:row>
    <x:row r="29" spans="1:19" s="7" customFormat="1" outlineLevel="1" x14ac:dyDescent="0.2">
      <x:c r="A29" s="5"/>
      <x:c r="B29" s="58" t="inlineStr">
        <x:v>49</x:v>
        <x:is>
          <x:t>Total F236</x:t>
        </x:is>
      </x:c>
      <x:c r="C29" s="59"/>
      <x:c r="D29" s="58" t="n">
        <x:v>8</x:v>
      </x:c>
      <x:c r="E29" s="60" t="n">
        <x:v>0</x:v>
      </x:c>
      <x:c r="F29" s="60" t="n">
        <x:f>MAX(D29-E29, 0)</x:f>
        <x:v>1</x:v>
      </x:c>
      <x:c r="G29" s="61" t="n">
        <x:f>IF(D29=0,0,ABS(E29/D29))</x:f>
        <x:v>0.5</x:v>
      </x:c>
      <x:c r="H29" s="58" t="n">
        <x:v>0</x:v>
      </x:c>
      <x:c r="I29" s="60" t="n">
        <x:v>7.5</x:v>
      </x:c>
      <x:c r="J29" s="62" t="n">
        <x:f>IF(H29=0,"No plan at start",I29/H29)</x:f>
        <x:v>2</x:v>
      </x:c>
      <x:c r="K29" s="60" t="n">
        <x:f>MAX(H29-I29, 0)</x:f>
        <x:v>0</x:v>
      </x:c>
      <x:c r="L29" s="60" t="n">
        <x:v>0</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F808</x:t>
        </x:is>
      </x:c>
      <x:c r="C30" s="46" t="inlineStr">
        <x:is>
          <x:t>Wierzbicki, Jaroslaw</x:t>
        </x:is>
      </x:c>
      <x:c r="D30" s="45" t="n">
        <x:v>0</x:v>
      </x:c>
      <x:c r="E30" s="19" t="n">
        <x:v>0.5</x:v>
      </x:c>
      <x:c r="F30" s="19" t="n">
        <x:f>MAX(D30-E30, 0)</x:f>
        <x:v>1</x:v>
      </x:c>
      <x:c r="G30" s="47" t="n">
        <x:f>IF(D30=0,0,ABS(E30/D30))</x:f>
        <x:v>0.5</x:v>
      </x:c>
      <x:c r="H30" s="52"/>
      <x:c r="I30" s="50"/>
      <x:c r="J30" s="50"/>
      <x:c r="K30" s="51"/>
      <x:c r="L30" s="19" t="n">
        <x:v>0</x:v>
      </x:c>
      <x:c r="M30" s="56"/>
      <x:c r="N30" s="50"/>
      <x:c r="O30" s="70"/>
      <x:c r="P30" s="29"/>
      <x:c r="Q30" s="30"/>
      <x:c r="R30" s="31"/>
      <x:c r="S30" s="31"/>
    </x:row>
    <x:row r="31" spans="1:19" s="7" customFormat="1" outlineLevel="1" x14ac:dyDescent="0.2">
      <x:c r="A31" s="5"/>
      <x:c r="B31" s="58" t="inlineStr">
        <x:v>49</x:v>
        <x:is>
          <x:t>Total F808</x:t>
        </x:is>
      </x:c>
      <x:c r="C31" s="59"/>
      <x:c r="D31" s="58" t="n">
        <x:v>0</x:v>
      </x:c>
      <x:c r="E31" s="60" t="n">
        <x:v>0.5</x:v>
      </x:c>
      <x:c r="F31" s="60" t="n">
        <x:f>MAX(D31-E31, 0)</x:f>
        <x:v>1</x:v>
      </x:c>
      <x:c r="G31" s="61" t="n">
        <x:f>IF(D31=0,0,ABS(E31/D31))</x:f>
        <x:v>0.5</x:v>
      </x:c>
      <x:c r="H31" s="58" t="n">
        <x:v>0</x:v>
      </x:c>
      <x:c r="I31" s="60" t="n">
        <x:v>11548.50</x:v>
      </x:c>
      <x:c r="J31" s="62" t="n">
        <x:f>IF(H31=0,"No plan at start",I31/H31)</x:f>
        <x:v>2</x:v>
      </x:c>
      <x:c r="K31" s="60" t="n">
        <x:f>MAX(H31-I31, 0)</x:f>
        <x:v>0</x:v>
      </x:c>
      <x:c r="L31" s="60" t="n">
        <x:v>0</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F958</x:t>
        </x:is>
      </x:c>
      <x:c r="C32" s="46" t="inlineStr">
        <x:is>
          <x:t>Liana, Marcin</x:t>
        </x:is>
      </x:c>
      <x:c r="D32" s="45" t="n">
        <x:v>0</x:v>
      </x:c>
      <x:c r="E32" s="19" t="n">
        <x:v>0</x:v>
      </x:c>
      <x:c r="F32" s="19" t="n">
        <x:f>MAX(D32-E32, 0)</x:f>
        <x:v>1</x:v>
      </x:c>
      <x:c r="G32" s="47" t="n">
        <x:f>IF(D32=0,0,ABS(E32/D32))</x:f>
        <x:v>0.5</x:v>
      </x:c>
      <x:c r="H32" s="52"/>
      <x:c r="I32" s="50"/>
      <x:c r="J32" s="50"/>
      <x:c r="K32" s="51"/>
      <x:c r="L32" s="19" t="n">
        <x:v>89.03</x:v>
      </x:c>
      <x:c r="M32" s="56"/>
      <x:c r="N32" s="50"/>
      <x:c r="O32" s="70"/>
      <x:c r="P32" s="29"/>
      <x:c r="Q32" s="30"/>
      <x:c r="R32" s="31"/>
      <x:c r="S32" s="31"/>
    </x:row>
    <x:row r="33" spans="1:19" s="7" customFormat="1" hidden="1" outlineLevel="2" collapsed="1" x14ac:dyDescent="0.2">
      <x:c r="A33" s="5"/>
      <x:c r="B33" s="45" t="inlineStr">
        <x:is>
          <x:t>F958</x:t>
        </x:is>
      </x:c>
      <x:c r="C33" s="46" t="inlineStr">
        <x:is>
          <x:t>Metrak, Andrzej</x:t>
        </x:is>
      </x:c>
      <x:c r="D33" s="45" t="n">
        <x:v>0</x:v>
      </x:c>
      <x:c r="E33" s="19" t="n">
        <x:v>0</x:v>
      </x:c>
      <x:c r="F33" s="19" t="n">
        <x:f>MAX(D33-E33, 0)</x:f>
        <x:v>1</x:v>
      </x:c>
      <x:c r="G33" s="47" t="n">
        <x:f>IF(D33=0,0,ABS(E33/D33))</x:f>
        <x:v>0.5</x:v>
      </x:c>
      <x:c r="H33" s="72"/>
      <x:c r="I33" s="73"/>
      <x:c r="J33" s="73"/>
      <x:c r="K33" s="74"/>
      <x:c r="L33" s="19" t="n">
        <x:v>81.92</x:v>
      </x:c>
      <x:c r="M33" s="75"/>
      <x:c r="N33" s="73"/>
      <x:c r="O33" s="76"/>
      <x:c r="P33" s="29"/>
      <x:c r="Q33" s="30"/>
      <x:c r="R33" s="31"/>
      <x:c r="S33" s="31"/>
    </x:row>
    <x:row r="34" spans="1:19" s="7" customFormat="1" hidden="1" outlineLevel="2" collapsed="1" x14ac:dyDescent="0.2">
      <x:c r="A34" s="5"/>
      <x:c r="B34" s="45" t="inlineStr">
        <x:is>
          <x:t>F958</x:t>
        </x:is>
      </x:c>
      <x:c r="C34" s="46" t="inlineStr">
        <x:is>
          <x:t>Michniewicz, Agnieszka</x:t>
        </x:is>
      </x:c>
      <x:c r="D34" s="45" t="n">
        <x:v>0</x:v>
      </x:c>
      <x:c r="E34" s="19" t="n">
        <x:v>0</x:v>
      </x:c>
      <x:c r="F34" s="19" t="n">
        <x:f>MAX(D34-E34, 0)</x:f>
        <x:v>1</x:v>
      </x:c>
      <x:c r="G34" s="47" t="n">
        <x:f>IF(D34=0,0,ABS(E34/D34))</x:f>
        <x:v>0.5</x:v>
      </x:c>
      <x:c r="H34" s="72"/>
      <x:c r="I34" s="73"/>
      <x:c r="J34" s="73"/>
      <x:c r="K34" s="74"/>
      <x:c r="L34" s="19" t="n">
        <x:v>89.03</x:v>
      </x:c>
      <x:c r="M34" s="57"/>
      <x:c r="N34" s="54"/>
      <x:c r="O34" s="71"/>
      <x:c r="P34" s="29"/>
      <x:c r="Q34" s="30"/>
      <x:c r="R34" s="31"/>
      <x:c r="S34" s="31"/>
    </x:row>
    <x:row r="35" spans="1:19" s="7" customFormat="1" outlineLevel="1" x14ac:dyDescent="0.2">
      <x:c r="A35" s="5"/>
      <x:c r="B35" s="58" t="inlineStr">
        <x:v>49</x:v>
        <x:is>
          <x:t>Total F958</x:t>
        </x:is>
      </x:c>
      <x:c r="C35" s="59"/>
      <x:c r="D35" s="58" t="n">
        <x:v>0</x:v>
      </x:c>
      <x:c r="E35" s="60" t="n">
        <x:v>0</x:v>
      </x:c>
      <x:c r="F35" s="60" t="n">
        <x:f>MAX(D35-E35, 0)</x:f>
        <x:v>1</x:v>
      </x:c>
      <x:c r="G35" s="61" t="n">
        <x:f>IF(D35=0,0,ABS(E35/D35))</x:f>
        <x:v>0.5</x:v>
      </x:c>
      <x:c r="H35" s="58" t="n">
        <x:v>0</x:v>
      </x:c>
      <x:c r="I35" s="60" t="n">
        <x:v>333.25</x:v>
      </x:c>
      <x:c r="J35" s="62" t="n">
        <x:f>IF(H35=0,"No plan at start",I35/H35)</x:f>
        <x:v>2</x:v>
      </x:c>
      <x:c r="K35" s="60" t="n">
        <x:f>MAX(H35-I35, 0)</x:f>
        <x:v>0</x:v>
      </x:c>
      <x:c r="L35" s="60" t="n">
        <x:v>259.98</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G429</x:t>
        </x:is>
      </x:c>
      <x:c r="C36" s="46" t="inlineStr">
        <x:is>
          <x:t>Mroczkiewicz, Rafal</x:t>
        </x:is>
      </x:c>
      <x:c r="D36" s="45" t="n">
        <x:v>0</x:v>
      </x:c>
      <x:c r="E36" s="19" t="n">
        <x:v>39.00</x:v>
      </x:c>
      <x:c r="F36" s="19" t="n">
        <x:f>MAX(D36-E36, 0)</x:f>
        <x:v>1</x:v>
      </x:c>
      <x:c r="G36" s="47" t="n">
        <x:f>IF(D36=0,0,ABS(E36/D36))</x:f>
        <x:v>0.5</x:v>
      </x:c>
      <x:c r="H36" s="52"/>
      <x:c r="I36" s="50"/>
      <x:c r="J36" s="50"/>
      <x:c r="K36" s="51"/>
      <x:c r="L36" s="19" t="n">
        <x:v>0</x:v>
      </x:c>
      <x:c r="M36" s="56"/>
      <x:c r="N36" s="50"/>
      <x:c r="O36" s="70"/>
      <x:c r="P36" s="29"/>
      <x:c r="Q36" s="30"/>
      <x:c r="R36" s="31"/>
      <x:c r="S36" s="31"/>
    </x:row>
    <x:row r="37" spans="1:19" s="7" customFormat="1" hidden="1" outlineLevel="2" collapsed="1" x14ac:dyDescent="0.2">
      <x:c r="A37" s="5"/>
      <x:c r="B37" s="45" t="inlineStr">
        <x:is>
          <x:t>G429</x:t>
        </x:is>
      </x:c>
      <x:c r="C37" s="46" t="inlineStr">
        <x:is>
          <x:t>Sysik, Pawel</x:t>
        </x:is>
      </x:c>
      <x:c r="D37" s="45" t="n">
        <x:v>0</x:v>
      </x:c>
      <x:c r="E37" s="19" t="n">
        <x:v>1</x:v>
      </x:c>
      <x:c r="F37" s="19" t="n">
        <x:f>MAX(D37-E37, 0)</x:f>
        <x:v>1</x:v>
      </x:c>
      <x:c r="G37" s="47" t="n">
        <x:f>IF(D37=0,0,ABS(E37/D37))</x:f>
        <x:v>0.5</x:v>
      </x:c>
      <x:c r="H37" s="72"/>
      <x:c r="I37" s="73"/>
      <x:c r="J37" s="73"/>
      <x:c r="K37" s="74"/>
      <x:c r="L37" s="19" t="n">
        <x:v>24</x:v>
      </x:c>
      <x:c r="M37" s="75"/>
      <x:c r="N37" s="73"/>
      <x:c r="O37" s="76"/>
      <x:c r="P37" s="29"/>
      <x:c r="Q37" s="30"/>
      <x:c r="R37" s="31"/>
      <x:c r="S37" s="31"/>
    </x:row>
    <x:row r="38" spans="1:19" s="7" customFormat="1" hidden="1" outlineLevel="2" collapsed="1" x14ac:dyDescent="0.2">
      <x:c r="A38" s="5"/>
      <x:c r="B38" s="45" t="inlineStr">
        <x:is>
          <x:t>G429</x:t>
        </x:is>
      </x:c>
      <x:c r="C38" s="46" t="inlineStr">
        <x:is>
          <x:t>Wierzbicki, Jaroslaw</x:t>
        </x:is>
      </x:c>
      <x:c r="D38" s="45" t="n">
        <x:v>0</x:v>
      </x:c>
      <x:c r="E38" s="19" t="n">
        <x:v>47.25</x:v>
      </x:c>
      <x:c r="F38" s="19" t="n">
        <x:f>MAX(D38-E38, 0)</x:f>
        <x:v>1</x:v>
      </x:c>
      <x:c r="G38" s="47" t="n">
        <x:f>IF(D38=0,0,ABS(E38/D38))</x:f>
        <x:v>0.5</x:v>
      </x:c>
      <x:c r="H38" s="72"/>
      <x:c r="I38" s="73"/>
      <x:c r="J38" s="73"/>
      <x:c r="K38" s="74"/>
      <x:c r="L38" s="19" t="n">
        <x:v>0</x:v>
      </x:c>
      <x:c r="M38" s="57"/>
      <x:c r="N38" s="54"/>
      <x:c r="O38" s="71"/>
      <x:c r="P38" s="29"/>
      <x:c r="Q38" s="30"/>
      <x:c r="R38" s="31"/>
      <x:c r="S38" s="31"/>
    </x:row>
    <x:row r="39" spans="1:19" s="7" customFormat="1" outlineLevel="1" x14ac:dyDescent="0.2">
      <x:c r="A39" s="5"/>
      <x:c r="B39" s="58" t="inlineStr">
        <x:v>49</x:v>
        <x:is>
          <x:t>Total G429</x:t>
        </x:is>
      </x:c>
      <x:c r="C39" s="59"/>
      <x:c r="D39" s="58" t="n">
        <x:v>0</x:v>
      </x:c>
      <x:c r="E39" s="60" t="n">
        <x:v>87.25</x:v>
      </x:c>
      <x:c r="F39" s="60" t="n">
        <x:f>MAX(D39-E39, 0)</x:f>
        <x:v>1</x:v>
      </x:c>
      <x:c r="G39" s="61" t="n">
        <x:f>IF(D39=0,0,ABS(E39/D39))</x:f>
        <x:v>0.5</x:v>
      </x:c>
      <x:c r="H39" s="58" t="n">
        <x:v>0</x:v>
      </x:c>
      <x:c r="I39" s="60" t="n">
        <x:v>4509.75</x:v>
      </x:c>
      <x:c r="J39" s="62" t="n">
        <x:f>IF(H39=0,"No plan at start",I39/H39)</x:f>
        <x:v>2</x:v>
      </x:c>
      <x:c r="K39" s="60" t="n">
        <x:f>MAX(H39-I39, 0)</x:f>
        <x:v>0</x:v>
      </x:c>
      <x:c r="L39" s="60" t="n">
        <x:v>24</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H808</x:t>
        </x:is>
      </x:c>
      <x:c r="C40" s="46" t="inlineStr">
        <x:is>
          <x:t>Figlewicz, Adam</x:t>
        </x:is>
      </x:c>
      <x:c r="D40" s="45" t="n">
        <x:v>168</x:v>
      </x:c>
      <x:c r="E40" s="19" t="n">
        <x:v>16.5</x:v>
      </x:c>
      <x:c r="F40" s="19" t="n">
        <x:f>MAX(D40-E40, 0)</x:f>
        <x:v>1</x:v>
      </x:c>
      <x:c r="G40" s="47" t="n">
        <x:f>IF(D40=0,0,ABS(E40/D40))</x:f>
        <x:v>0.5</x:v>
      </x:c>
      <x:c r="H40" s="52"/>
      <x:c r="I40" s="50"/>
      <x:c r="J40" s="50"/>
      <x:c r="K40" s="51"/>
      <x:c r="L40" s="19" t="n">
        <x:v>0</x:v>
      </x:c>
      <x:c r="M40" s="56"/>
      <x:c r="N40" s="50"/>
      <x:c r="O40" s="70"/>
      <x:c r="P40" s="29"/>
      <x:c r="Q40" s="30"/>
      <x:c r="R40" s="31"/>
      <x:c r="S40" s="31"/>
    </x:row>
    <x:row r="41" spans="1:19" s="7" customFormat="1" hidden="1" outlineLevel="2" collapsed="1" x14ac:dyDescent="0.2">
      <x:c r="A41" s="5"/>
      <x:c r="B41" s="45" t="inlineStr">
        <x:is>
          <x:t>H808</x:t>
        </x:is>
      </x:c>
      <x:c r="C41" s="46" t="inlineStr">
        <x:is>
          <x:t>Janik, Piotr</x:t>
        </x:is>
      </x:c>
      <x:c r="D41" s="45" t="n">
        <x:v>168</x:v>
      </x:c>
      <x:c r="E41" s="19" t="n">
        <x:v>91.50</x:v>
      </x:c>
      <x:c r="F41" s="19" t="n">
        <x:f>MAX(D41-E41, 0)</x:f>
        <x:v>1</x:v>
      </x:c>
      <x:c r="G41" s="47" t="n">
        <x:f>IF(D41=0,0,ABS(E41/D41))</x:f>
        <x:v>0.5</x:v>
      </x:c>
      <x:c r="H41" s="72"/>
      <x:c r="I41" s="73"/>
      <x:c r="J41" s="73"/>
      <x:c r="K41" s="74"/>
      <x:c r="L41" s="19" t="n">
        <x:v>0</x:v>
      </x:c>
      <x:c r="M41" s="75"/>
      <x:c r="N41" s="73"/>
      <x:c r="O41" s="76"/>
      <x:c r="P41" s="29"/>
      <x:c r="Q41" s="30"/>
      <x:c r="R41" s="31"/>
      <x:c r="S41" s="31"/>
    </x:row>
    <x:row r="42" spans="1:19" s="7" customFormat="1" hidden="1" outlineLevel="2" collapsed="1" x14ac:dyDescent="0.2">
      <x:c r="A42" s="5"/>
      <x:c r="B42" s="45" t="inlineStr">
        <x:is>
          <x:t>H808</x:t>
        </x:is>
      </x:c>
      <x:c r="C42" s="46" t="inlineStr">
        <x:is>
          <x:t>Klek, Andrzej</x:t>
        </x:is>
      </x:c>
      <x:c r="D42" s="45" t="n">
        <x:v>0</x:v>
      </x:c>
      <x:c r="E42" s="19" t="n">
        <x:v>26</x:v>
      </x:c>
      <x:c r="F42" s="19" t="n">
        <x:f>MAX(D42-E42, 0)</x:f>
        <x:v>1</x:v>
      </x:c>
      <x:c r="G42" s="47" t="n">
        <x:f>IF(D42=0,0,ABS(E42/D42))</x:f>
        <x:v>0.5</x:v>
      </x:c>
      <x:c r="H42" s="72"/>
      <x:c r="I42" s="73"/>
      <x:c r="J42" s="73"/>
      <x:c r="K42" s="74"/>
      <x:c r="L42" s="19" t="n">
        <x:v>0</x:v>
      </x:c>
      <x:c r="M42" s="75"/>
      <x:c r="N42" s="73"/>
      <x:c r="O42" s="76"/>
      <x:c r="P42" s="29"/>
      <x:c r="Q42" s="30"/>
      <x:c r="R42" s="31"/>
      <x:c r="S42" s="31"/>
    </x:row>
    <x:row r="43" spans="1:19" s="7" customFormat="1" hidden="1" outlineLevel="2" collapsed="1" x14ac:dyDescent="0.2">
      <x:c r="A43" s="5"/>
      <x:c r="B43" s="45" t="inlineStr">
        <x:is>
          <x:t>H808</x:t>
        </x:is>
      </x:c>
      <x:c r="C43" s="46" t="inlineStr">
        <x:is>
          <x:t>Kowalska, Justyna</x:t>
        </x:is>
      </x:c>
      <x:c r="D43" s="45" t="n">
        <x:v>168</x:v>
      </x:c>
      <x:c r="E43" s="19" t="n">
        <x:v>42.00</x:v>
      </x:c>
      <x:c r="F43" s="19" t="n">
        <x:f>MAX(D43-E43, 0)</x:f>
        <x:v>1</x:v>
      </x:c>
      <x:c r="G43" s="47" t="n">
        <x:f>IF(D43=0,0,ABS(E43/D43))</x:f>
        <x:v>0.5</x:v>
      </x:c>
      <x:c r="H43" s="72"/>
      <x:c r="I43" s="73"/>
      <x:c r="J43" s="73"/>
      <x:c r="K43" s="74"/>
      <x:c r="L43" s="19" t="n">
        <x:v>0</x:v>
      </x:c>
      <x:c r="M43" s="75"/>
      <x:c r="N43" s="73"/>
      <x:c r="O43" s="76"/>
      <x:c r="P43" s="29"/>
      <x:c r="Q43" s="30"/>
      <x:c r="R43" s="31"/>
      <x:c r="S43" s="31"/>
    </x:row>
    <x:row r="44" spans="1:19" s="7" customFormat="1" hidden="1" outlineLevel="2" collapsed="1" x14ac:dyDescent="0.2">
      <x:c r="A44" s="5"/>
      <x:c r="B44" s="45" t="inlineStr">
        <x:is>
          <x:t>H808</x:t>
        </x:is>
      </x:c>
      <x:c r="C44" s="46" t="inlineStr">
        <x:is>
          <x:t>Kwiatkowska, Monika</x:t>
        </x:is>
      </x:c>
      <x:c r="D44" s="45" t="n">
        <x:v>168</x:v>
      </x:c>
      <x:c r="E44" s="19" t="n">
        <x:v>83.25</x:v>
      </x:c>
      <x:c r="F44" s="19" t="n">
        <x:f>MAX(D44-E44, 0)</x:f>
        <x:v>1</x:v>
      </x:c>
      <x:c r="G44" s="47" t="n">
        <x:f>IF(D44=0,0,ABS(E44/D44))</x:f>
        <x:v>0.5</x:v>
      </x:c>
      <x:c r="H44" s="72"/>
      <x:c r="I44" s="73"/>
      <x:c r="J44" s="73"/>
      <x:c r="K44" s="74"/>
      <x:c r="L44" s="19" t="n">
        <x:v>0</x:v>
      </x:c>
      <x:c r="M44" s="75"/>
      <x:c r="N44" s="73"/>
      <x:c r="O44" s="76"/>
      <x:c r="P44" s="29"/>
      <x:c r="Q44" s="30"/>
      <x:c r="R44" s="31"/>
      <x:c r="S44" s="31"/>
    </x:row>
    <x:row r="45" spans="1:19" s="7" customFormat="1" hidden="1" outlineLevel="2" collapsed="1" x14ac:dyDescent="0.2">
      <x:c r="A45" s="5"/>
      <x:c r="B45" s="45" t="inlineStr">
        <x:is>
          <x:t>H808</x:t>
        </x:is>
      </x:c>
      <x:c r="C45" s="46" t="inlineStr">
        <x:is>
          <x:t>Liana, Marcin</x:t>
        </x:is>
      </x:c>
      <x:c r="D45" s="45" t="n">
        <x:v>168</x:v>
      </x:c>
      <x:c r="E45" s="19" t="n">
        <x:v>114.75</x:v>
      </x:c>
      <x:c r="F45" s="19" t="n">
        <x:f>MAX(D45-E45, 0)</x:f>
        <x:v>1</x:v>
      </x:c>
      <x:c r="G45" s="47" t="n">
        <x:f>IF(D45=0,0,ABS(E45/D45))</x:f>
        <x:v>0.5</x:v>
      </x:c>
      <x:c r="H45" s="72"/>
      <x:c r="I45" s="73"/>
      <x:c r="J45" s="73"/>
      <x:c r="K45" s="74"/>
      <x:c r="L45" s="19" t="n">
        <x:v>285.6</x:v>
      </x:c>
      <x:c r="M45" s="75"/>
      <x:c r="N45" s="73"/>
      <x:c r="O45" s="76"/>
      <x:c r="P45" s="29"/>
      <x:c r="Q45" s="30"/>
      <x:c r="R45" s="31"/>
      <x:c r="S45" s="31"/>
    </x:row>
    <x:row r="46" spans="1:19" s="7" customFormat="1" hidden="1" outlineLevel="2" collapsed="1" x14ac:dyDescent="0.2">
      <x:c r="A46" s="5"/>
      <x:c r="B46" s="45" t="inlineStr">
        <x:is>
          <x:t>H808</x:t>
        </x:is>
      </x:c>
      <x:c r="C46" s="46" t="inlineStr">
        <x:is>
          <x:t>Metrak, Andrzej</x:t>
        </x:is>
      </x:c>
      <x:c r="D46" s="45" t="n">
        <x:v>0</x:v>
      </x:c>
      <x:c r="E46" s="19" t="n">
        <x:v>5</x:v>
      </x:c>
      <x:c r="F46" s="19" t="n">
        <x:f>MAX(D46-E46, 0)</x:f>
        <x:v>1</x:v>
      </x:c>
      <x:c r="G46" s="47" t="n">
        <x:f>IF(D46=0,0,ABS(E46/D46))</x:f>
        <x:v>0.5</x:v>
      </x:c>
      <x:c r="H46" s="72"/>
      <x:c r="I46" s="73"/>
      <x:c r="J46" s="73"/>
      <x:c r="K46" s="74"/>
      <x:c r="L46" s="19" t="n">
        <x:v>0</x:v>
      </x:c>
      <x:c r="M46" s="75"/>
      <x:c r="N46" s="73"/>
      <x:c r="O46" s="76"/>
      <x:c r="P46" s="29"/>
      <x:c r="Q46" s="30"/>
      <x:c r="R46" s="31"/>
      <x:c r="S46" s="31"/>
    </x:row>
    <x:row r="47" spans="1:19" s="7" customFormat="1" hidden="1" outlineLevel="2" collapsed="1" x14ac:dyDescent="0.2">
      <x:c r="A47" s="5"/>
      <x:c r="B47" s="45" t="inlineStr">
        <x:is>
          <x:t>H808</x:t>
        </x:is>
      </x:c>
      <x:c r="C47" s="46" t="inlineStr">
        <x:is>
          <x:t>Michniewicz, Agnieszka</x:t>
        </x:is>
      </x:c>
      <x:c r="D47" s="45" t="n">
        <x:v>168</x:v>
      </x:c>
      <x:c r="E47" s="19" t="n">
        <x:v>87</x:v>
      </x:c>
      <x:c r="F47" s="19" t="n">
        <x:f>MAX(D47-E47, 0)</x:f>
        <x:v>1</x:v>
      </x:c>
      <x:c r="G47" s="47" t="n">
        <x:f>IF(D47=0,0,ABS(E47/D47))</x:f>
        <x:v>0.5</x:v>
      </x:c>
      <x:c r="H47" s="72"/>
      <x:c r="I47" s="73"/>
      <x:c r="J47" s="73"/>
      <x:c r="K47" s="74"/>
      <x:c r="L47" s="19" t="n">
        <x:v>904.0</x:v>
      </x:c>
      <x:c r="M47" s="75"/>
      <x:c r="N47" s="73"/>
      <x:c r="O47" s="76"/>
      <x:c r="P47" s="29"/>
      <x:c r="Q47" s="30"/>
      <x:c r="R47" s="31"/>
      <x:c r="S47" s="31"/>
    </x:row>
    <x:row r="48" spans="1:19" s="7" customFormat="1" hidden="1" outlineLevel="2" collapsed="1" x14ac:dyDescent="0.2">
      <x:c r="A48" s="5"/>
      <x:c r="B48" s="45" t="inlineStr">
        <x:is>
          <x:t>H808</x:t>
        </x:is>
      </x:c>
      <x:c r="C48" s="46" t="inlineStr">
        <x:is>
          <x:t>Misiek, Andrzej</x:t>
        </x:is>
      </x:c>
      <x:c r="D48" s="45" t="n">
        <x:v>0</x:v>
      </x:c>
      <x:c r="E48" s="19" t="n">
        <x:v>5</x:v>
      </x:c>
      <x:c r="F48" s="19" t="n">
        <x:f>MAX(D48-E48, 0)</x:f>
        <x:v>1</x:v>
      </x:c>
      <x:c r="G48" s="47" t="n">
        <x:f>IF(D48=0,0,ABS(E48/D48))</x:f>
        <x:v>0.5</x:v>
      </x:c>
      <x:c r="H48" s="72"/>
      <x:c r="I48" s="73"/>
      <x:c r="J48" s="73"/>
      <x:c r="K48" s="74"/>
      <x:c r="L48" s="19" t="n">
        <x:v>0</x:v>
      </x:c>
      <x:c r="M48" s="75"/>
      <x:c r="N48" s="73"/>
      <x:c r="O48" s="76"/>
      <x:c r="P48" s="29"/>
      <x:c r="Q48" s="30"/>
      <x:c r="R48" s="31"/>
      <x:c r="S48" s="31"/>
    </x:row>
    <x:row r="49" spans="1:19" s="7" customFormat="1" hidden="1" outlineLevel="2" collapsed="1" x14ac:dyDescent="0.2">
      <x:c r="A49" s="5"/>
      <x:c r="B49" s="45" t="inlineStr">
        <x:is>
          <x:t>H808</x:t>
        </x:is>
      </x:c>
      <x:c r="C49" s="46" t="inlineStr">
        <x:is>
          <x:t>Popecka, Katarzyna</x:t>
        </x:is>
      </x:c>
      <x:c r="D49" s="45" t="n">
        <x:v>168</x:v>
      </x:c>
      <x:c r="E49" s="19" t="n">
        <x:v>119.75</x:v>
      </x:c>
      <x:c r="F49" s="19" t="n">
        <x:f>MAX(D49-E49, 0)</x:f>
        <x:v>1</x:v>
      </x:c>
      <x:c r="G49" s="47" t="n">
        <x:f>IF(D49=0,0,ABS(E49/D49))</x:f>
        <x:v>0.5</x:v>
      </x:c>
      <x:c r="H49" s="72"/>
      <x:c r="I49" s="73"/>
      <x:c r="J49" s="73"/>
      <x:c r="K49" s="74"/>
      <x:c r="L49" s="19" t="n">
        <x:v>0</x:v>
      </x:c>
      <x:c r="M49" s="75"/>
      <x:c r="N49" s="73"/>
      <x:c r="O49" s="76"/>
      <x:c r="P49" s="29"/>
      <x:c r="Q49" s="30"/>
      <x:c r="R49" s="31"/>
      <x:c r="S49" s="31"/>
    </x:row>
    <x:row r="50" spans="1:19" s="7" customFormat="1" hidden="1" outlineLevel="2" collapsed="1" x14ac:dyDescent="0.2">
      <x:c r="A50" s="5"/>
      <x:c r="B50" s="45" t="inlineStr">
        <x:is>
          <x:t>H808</x:t>
        </x:is>
      </x:c>
      <x:c r="C50" s="46" t="inlineStr">
        <x:is>
          <x:t>Sitarczyk, Aleksandra</x:t>
        </x:is>
      </x:c>
      <x:c r="D50" s="45" t="n">
        <x:v>168</x:v>
      </x:c>
      <x:c r="E50" s="19" t="n">
        <x:v>80</x:v>
      </x:c>
      <x:c r="F50" s="19" t="n">
        <x:f>MAX(D50-E50, 0)</x:f>
        <x:v>1</x:v>
      </x:c>
      <x:c r="G50" s="47" t="n">
        <x:f>IF(D50=0,0,ABS(E50/D50))</x:f>
        <x:v>0.5</x:v>
      </x:c>
      <x:c r="H50" s="72"/>
      <x:c r="I50" s="73"/>
      <x:c r="J50" s="73"/>
      <x:c r="K50" s="74"/>
      <x:c r="L50" s="19" t="n">
        <x:v>0</x:v>
      </x:c>
      <x:c r="M50" s="75"/>
      <x:c r="N50" s="73"/>
      <x:c r="O50" s="76"/>
      <x:c r="P50" s="29"/>
      <x:c r="Q50" s="30"/>
      <x:c r="R50" s="31"/>
      <x:c r="S50" s="31"/>
    </x:row>
    <x:row r="51" spans="1:19" s="7" customFormat="1" hidden="1" outlineLevel="2" collapsed="1" x14ac:dyDescent="0.2">
      <x:c r="A51" s="5"/>
      <x:c r="B51" s="45" t="inlineStr">
        <x:is>
          <x:t>H808</x:t>
        </x:is>
      </x:c>
      <x:c r="C51" s="46" t="inlineStr">
        <x:is>
          <x:t>Suminska, Aleksandra</x:t>
        </x:is>
      </x:c>
      <x:c r="D51" s="45" t="n">
        <x:v>168</x:v>
      </x:c>
      <x:c r="E51" s="19" t="n">
        <x:v>11.25</x:v>
      </x:c>
      <x:c r="F51" s="19" t="n">
        <x:f>MAX(D51-E51, 0)</x:f>
        <x:v>1</x:v>
      </x:c>
      <x:c r="G51" s="47" t="n">
        <x:f>IF(D51=0,0,ABS(E51/D51))</x:f>
        <x:v>0.5</x:v>
      </x:c>
      <x:c r="H51" s="72"/>
      <x:c r="I51" s="73"/>
      <x:c r="J51" s="73"/>
      <x:c r="K51" s="74"/>
      <x:c r="L51" s="19" t="n">
        <x:v>0</x:v>
      </x:c>
      <x:c r="M51" s="57"/>
      <x:c r="N51" s="54"/>
      <x:c r="O51" s="71"/>
      <x:c r="P51" s="29"/>
      <x:c r="Q51" s="30"/>
      <x:c r="R51" s="31"/>
      <x:c r="S51" s="31"/>
    </x:row>
    <x:row r="52" spans="1:19" s="7" customFormat="1" outlineLevel="1" x14ac:dyDescent="0.2">
      <x:c r="A52" s="5"/>
      <x:c r="B52" s="58" t="inlineStr">
        <x:v>49</x:v>
        <x:is>
          <x:t>Total H808</x:t>
        </x:is>
      </x:c>
      <x:c r="C52" s="59"/>
      <x:c r="D52" s="58" t="n">
        <x:v>1512</x:v>
      </x:c>
      <x:c r="E52" s="60" t="n">
        <x:v>682.00</x:v>
      </x:c>
      <x:c r="F52" s="60" t="n">
        <x:f>MAX(D52-E52, 0)</x:f>
        <x:v>1</x:v>
      </x:c>
      <x:c r="G52" s="61" t="n">
        <x:f>IF(D52=0,0,ABS(E52/D52))</x:f>
        <x:v>0.5</x:v>
      </x:c>
      <x:c r="H52" s="58" t="n">
        <x:v>6637.6</x:v>
      </x:c>
      <x:c r="I52" s="60" t="n">
        <x:v>28755.75</x:v>
      </x:c>
      <x:c r="J52" s="62" t="n">
        <x:f>IF(H52=0,"No plan at start",I52/H52)</x:f>
        <x:v>2</x:v>
      </x:c>
      <x:c r="K52" s="60" t="n">
        <x:f>MAX(H52-I52, 0)</x:f>
        <x:v>0</x:v>
      </x:c>
      <x:c r="L52" s="60" t="n">
        <x:v>1189.6</x:v>
      </x:c>
      <x:c r="M52" s="60" t="n">
        <x:f>I52+L52</x:f>
        <x:v>3</x:v>
      </x:c>
      <x:c r="N52" s="60" t="n">
        <x:f>M52-H52</x:f>
        <x:v>2</x:v>
      </x:c>
      <x:c r="O52" s="61" t="n">
        <x:f>IF(H52=0,"No plan at start",M52/H52)</x:f>
        <x:v>3</x:v>
      </x:c>
      <x:c r="P52" s="29"/>
      <x:c r="Q52" s="30"/>
      <x:c r="R52" s="31"/>
      <x:c r="S52" s="31"/>
    </x:row>
    <x:row r="53" spans="1:19" s="7" customFormat="1" hidden="1" outlineLevel="2" collapsed="1" x14ac:dyDescent="0.2">
      <x:c r="A53" s="5"/>
      <x:c r="B53" s="45" t="inlineStr">
        <x:is>
          <x:t>H919</x:t>
        </x:is>
      </x:c>
      <x:c r="C53" s="46" t="inlineStr">
        <x:is>
          <x:t>Mroczkiewicz, Rafal</x:t>
        </x:is>
      </x:c>
      <x:c r="D53" s="45" t="n">
        <x:v>0</x:v>
      </x:c>
      <x:c r="E53" s="19" t="n">
        <x:v>3</x:v>
      </x:c>
      <x:c r="F53" s="19" t="n">
        <x:f>MAX(D53-E53, 0)</x:f>
        <x:v>1</x:v>
      </x:c>
      <x:c r="G53" s="47" t="n">
        <x:f>IF(D53=0,0,ABS(E53/D53))</x:f>
        <x:v>0.5</x:v>
      </x:c>
      <x:c r="H53" s="52"/>
      <x:c r="I53" s="50"/>
      <x:c r="J53" s="50"/>
      <x:c r="K53" s="51"/>
      <x:c r="L53" s="19" t="n">
        <x:v>0</x:v>
      </x:c>
      <x:c r="M53" s="56"/>
      <x:c r="N53" s="50"/>
      <x:c r="O53" s="70"/>
      <x:c r="P53" s="29"/>
      <x:c r="Q53" s="30"/>
      <x:c r="R53" s="31"/>
      <x:c r="S53" s="31"/>
    </x:row>
    <x:row r="54" spans="1:19" s="7" customFormat="1" outlineLevel="1" x14ac:dyDescent="0.2">
      <x:c r="A54" s="5"/>
      <x:c r="B54" s="58" t="inlineStr">
        <x:v>49</x:v>
        <x:is>
          <x:t>Total H919</x:t>
        </x:is>
      </x:c>
      <x:c r="C54" s="59"/>
      <x:c r="D54" s="58" t="n">
        <x:v>0</x:v>
      </x:c>
      <x:c r="E54" s="60" t="n">
        <x:v>3</x:v>
      </x:c>
      <x:c r="F54" s="60" t="n">
        <x:f>MAX(D54-E54, 0)</x:f>
        <x:v>1</x:v>
      </x:c>
      <x:c r="G54" s="61" t="n">
        <x:f>IF(D54=0,0,ABS(E54/D54))</x:f>
        <x:v>0.5</x:v>
      </x:c>
      <x:c r="H54" s="58" t="n">
        <x:v>0</x:v>
      </x:c>
      <x:c r="I54" s="60" t="n">
        <x:v>126.50</x:v>
      </x:c>
      <x:c r="J54" s="62" t="n">
        <x:f>IF(H54=0,"No plan at start",I54/H54)</x:f>
        <x:v>2</x:v>
      </x:c>
      <x:c r="K54" s="60" t="n">
        <x:f>MAX(H54-I54, 0)</x:f>
        <x:v>0</x:v>
      </x:c>
      <x:c r="L54" s="60" t="n">
        <x:v>0</x:v>
      </x:c>
      <x:c r="M54" s="60" t="n">
        <x:f>I54+L54</x:f>
        <x:v>3</x:v>
      </x:c>
      <x:c r="N54" s="60" t="n">
        <x:f>M54-H54</x:f>
        <x:v>2</x:v>
      </x:c>
      <x:c r="O54" s="61" t="n">
        <x:f>IF(H54=0,"No plan at start",M54/H54)</x:f>
        <x:v>3</x:v>
      </x:c>
      <x:c r="P54" s="29"/>
      <x:c r="Q54" s="30"/>
      <x:c r="R54" s="31"/>
      <x:c r="S54" s="31"/>
    </x:row>
    <x:row r="55" spans="1:19" s="7" customFormat="1" hidden="1" outlineLevel="2" collapsed="1" x14ac:dyDescent="0.2">
      <x:c r="A55" s="5"/>
      <x:c r="B55" s="45" t="inlineStr">
        <x:is>
          <x:t>J500</x:t>
        </x:is>
      </x:c>
      <x:c r="C55" s="46" t="inlineStr">
        <x:is>
          <x:t>Bujakowski, Marcin</x:t>
        </x:is>
      </x:c>
      <x:c r="D55" s="45" t="n">
        <x:v>183.27</x:v>
      </x:c>
      <x:c r="E55" s="19" t="n">
        <x:v>94.25</x:v>
      </x:c>
      <x:c r="F55" s="19" t="n">
        <x:f>MAX(D55-E55, 0)</x:f>
        <x:v>1</x:v>
      </x:c>
      <x:c r="G55" s="47" t="n">
        <x:f>IF(D55=0,0,ABS(E55/D55))</x:f>
        <x:v>0.5</x:v>
      </x:c>
      <x:c r="H55" s="52"/>
      <x:c r="I55" s="50"/>
      <x:c r="J55" s="50"/>
      <x:c r="K55" s="51"/>
      <x:c r="L55" s="19" t="n">
        <x:v>714.4</x:v>
      </x:c>
      <x:c r="M55" s="56"/>
      <x:c r="N55" s="50"/>
      <x:c r="O55" s="70"/>
      <x:c r="P55" s="29"/>
      <x:c r="Q55" s="30"/>
      <x:c r="R55" s="31"/>
      <x:c r="S55" s="31"/>
    </x:row>
    <x:row r="56" spans="1:19" s="7" customFormat="1" hidden="1" outlineLevel="2" collapsed="1" x14ac:dyDescent="0.2">
      <x:c r="A56" s="5"/>
      <x:c r="B56" s="45" t="inlineStr">
        <x:is>
          <x:t>J500</x:t>
        </x:is>
      </x:c>
      <x:c r="C56" s="46" t="inlineStr">
        <x:is>
          <x:t>Gandziarek, Damian</x:t>
        </x:is>
      </x:c>
      <x:c r="D56" s="45" t="n">
        <x:v>187.08</x:v>
      </x:c>
      <x:c r="E56" s="19" t="n">
        <x:v>61.5</x:v>
      </x:c>
      <x:c r="F56" s="19" t="n">
        <x:f>MAX(D56-E56, 0)</x:f>
        <x:v>1</x:v>
      </x:c>
      <x:c r="G56" s="47" t="n">
        <x:f>IF(D56=0,0,ABS(E56/D56))</x:f>
        <x:v>0.5</x:v>
      </x:c>
      <x:c r="H56" s="72"/>
      <x:c r="I56" s="73"/>
      <x:c r="J56" s="73"/>
      <x:c r="K56" s="74"/>
      <x:c r="L56" s="19" t="n">
        <x:v>823.03</x:v>
      </x:c>
      <x:c r="M56" s="75"/>
      <x:c r="N56" s="73"/>
      <x:c r="O56" s="76"/>
      <x:c r="P56" s="29"/>
      <x:c r="Q56" s="30"/>
      <x:c r="R56" s="31"/>
      <x:c r="S56" s="31"/>
    </x:row>
    <x:row r="57" spans="1:19" s="7" customFormat="1" hidden="1" outlineLevel="2" collapsed="1" x14ac:dyDescent="0.2">
      <x:c r="A57" s="5"/>
      <x:c r="B57" s="45" t="inlineStr">
        <x:is>
          <x:t>J500</x:t>
        </x:is>
      </x:c>
      <x:c r="C57" s="46" t="inlineStr">
        <x:is>
          <x:t>Marszalek, Mateusz</x:t>
        </x:is>
      </x:c>
      <x:c r="D57" s="45" t="n">
        <x:v>168</x:v>
      </x:c>
      <x:c r="E57" s="19" t="n">
        <x:v>86.5</x:v>
      </x:c>
      <x:c r="F57" s="19" t="n">
        <x:f>MAX(D57-E57, 0)</x:f>
        <x:v>1</x:v>
      </x:c>
      <x:c r="G57" s="47" t="n">
        <x:f>IF(D57=0,0,ABS(E57/D57))</x:f>
        <x:v>0.5</x:v>
      </x:c>
      <x:c r="H57" s="72"/>
      <x:c r="I57" s="73"/>
      <x:c r="J57" s="73"/>
      <x:c r="K57" s="74"/>
      <x:c r="L57" s="19" t="n">
        <x:v>794.0</x:v>
      </x:c>
      <x:c r="M57" s="75"/>
      <x:c r="N57" s="73"/>
      <x:c r="O57" s="76"/>
      <x:c r="P57" s="29"/>
      <x:c r="Q57" s="30"/>
      <x:c r="R57" s="31"/>
      <x:c r="S57" s="31"/>
    </x:row>
    <x:row r="58" spans="1:19" s="7" customFormat="1" hidden="1" outlineLevel="2" collapsed="1" x14ac:dyDescent="0.2">
      <x:c r="A58" s="5"/>
      <x:c r="B58" s="45" t="inlineStr">
        <x:is>
          <x:t>J500</x:t>
        </x:is>
      </x:c>
      <x:c r="C58" s="46" t="inlineStr">
        <x:is>
          <x:t>Misiek, Andrzej</x:t>
        </x:is>
      </x:c>
      <x:c r="D58" s="45" t="n">
        <x:v>168</x:v>
      </x:c>
      <x:c r="E58" s="19" t="n">
        <x:v>79.25</x:v>
      </x:c>
      <x:c r="F58" s="19" t="n">
        <x:f>MAX(D58-E58, 0)</x:f>
        <x:v>1</x:v>
      </x:c>
      <x:c r="G58" s="47" t="n">
        <x:f>IF(D58=0,0,ABS(E58/D58))</x:f>
        <x:v>0.5</x:v>
      </x:c>
      <x:c r="H58" s="72"/>
      <x:c r="I58" s="73"/>
      <x:c r="J58" s="73"/>
      <x:c r="K58" s="74"/>
      <x:c r="L58" s="19" t="n">
        <x:v>663.2</x:v>
      </x:c>
      <x:c r="M58" s="75"/>
      <x:c r="N58" s="73"/>
      <x:c r="O58" s="76"/>
      <x:c r="P58" s="29"/>
      <x:c r="Q58" s="30"/>
      <x:c r="R58" s="31"/>
      <x:c r="S58" s="31"/>
    </x:row>
    <x:row r="59" spans="1:19" s="7" customFormat="1" hidden="1" outlineLevel="2" collapsed="1" x14ac:dyDescent="0.2">
      <x:c r="A59" s="5"/>
      <x:c r="B59" s="45" t="inlineStr">
        <x:is>
          <x:t>J500</x:t>
        </x:is>
      </x:c>
      <x:c r="C59" s="46" t="inlineStr">
        <x:is>
          <x:t>Mroczkiewicz, Rafal</x:t>
        </x:is>
      </x:c>
      <x:c r="D59" s="45" t="n">
        <x:v>0</x:v>
      </x:c>
      <x:c r="E59" s="19" t="n">
        <x:v>55.50</x:v>
      </x:c>
      <x:c r="F59" s="19" t="n">
        <x:f>MAX(D59-E59, 0)</x:f>
        <x:v>1</x:v>
      </x:c>
      <x:c r="G59" s="47" t="n">
        <x:f>IF(D59=0,0,ABS(E59/D59))</x:f>
        <x:v>0.5</x:v>
      </x:c>
      <x:c r="H59" s="72"/>
      <x:c r="I59" s="73"/>
      <x:c r="J59" s="73"/>
      <x:c r="K59" s="74"/>
      <x:c r="L59" s="19" t="n">
        <x:v>187.6</x:v>
      </x:c>
      <x:c r="M59" s="75"/>
      <x:c r="N59" s="73"/>
      <x:c r="O59" s="76"/>
      <x:c r="P59" s="29"/>
      <x:c r="Q59" s="30"/>
      <x:c r="R59" s="31"/>
      <x:c r="S59" s="31"/>
    </x:row>
    <x:row r="60" spans="1:19" s="7" customFormat="1" hidden="1" outlineLevel="2" collapsed="1" x14ac:dyDescent="0.2">
      <x:c r="A60" s="5"/>
      <x:c r="B60" s="45" t="inlineStr">
        <x:is>
          <x:t>J500</x:t>
        </x:is>
      </x:c>
      <x:c r="C60" s="46" t="inlineStr">
        <x:is>
          <x:t>Romaniak, Damian</x:t>
        </x:is>
      </x:c>
      <x:c r="D60" s="45" t="n">
        <x:v>196.63</x:v>
      </x:c>
      <x:c r="E60" s="19" t="n">
        <x:v>110.75</x:v>
      </x:c>
      <x:c r="F60" s="19" t="n">
        <x:f>MAX(D60-E60, 0)</x:f>
        <x:v>1</x:v>
      </x:c>
      <x:c r="G60" s="47" t="n">
        <x:f>IF(D60=0,0,ABS(E60/D60))</x:f>
        <x:v>0.5</x:v>
      </x:c>
      <x:c r="H60" s="72"/>
      <x:c r="I60" s="73"/>
      <x:c r="J60" s="73"/>
      <x:c r="K60" s="74"/>
      <x:c r="L60" s="19" t="n">
        <x:v>820</x:v>
      </x:c>
      <x:c r="M60" s="75"/>
      <x:c r="N60" s="73"/>
      <x:c r="O60" s="76"/>
      <x:c r="P60" s="29"/>
      <x:c r="Q60" s="30"/>
      <x:c r="R60" s="31"/>
      <x:c r="S60" s="31"/>
    </x:row>
    <x:row r="61" spans="1:19" s="7" customFormat="1" hidden="1" outlineLevel="2" collapsed="1" x14ac:dyDescent="0.2">
      <x:c r="A61" s="5"/>
      <x:c r="B61" s="45" t="inlineStr">
        <x:is>
          <x:t>J500</x:t>
        </x:is>
      </x:c>
      <x:c r="C61" s="46" t="inlineStr">
        <x:is>
          <x:t>Sysik, Pawel</x:t>
        </x:is>
      </x:c>
      <x:c r="D61" s="45" t="n">
        <x:v>128.87</x:v>
      </x:c>
      <x:c r="E61" s="19" t="n">
        <x:v>67</x:v>
      </x:c>
      <x:c r="F61" s="19" t="n">
        <x:f>MAX(D61-E61, 0)</x:f>
        <x:v>1</x:v>
      </x:c>
      <x:c r="G61" s="47" t="n">
        <x:f>IF(D61=0,0,ABS(E61/D61))</x:f>
        <x:v>0.5</x:v>
      </x:c>
      <x:c r="H61" s="72"/>
      <x:c r="I61" s="73"/>
      <x:c r="J61" s="73"/>
      <x:c r="K61" s="74"/>
      <x:c r="L61" s="19" t="n">
        <x:v>537.6</x:v>
      </x:c>
      <x:c r="M61" s="75"/>
      <x:c r="N61" s="73"/>
      <x:c r="O61" s="76"/>
      <x:c r="P61" s="29"/>
      <x:c r="Q61" s="30"/>
      <x:c r="R61" s="31"/>
      <x:c r="S61" s="31"/>
    </x:row>
    <x:row r="62" spans="1:19" s="7" customFormat="1" hidden="1" outlineLevel="2" collapsed="1" x14ac:dyDescent="0.2">
      <x:c r="A62" s="5"/>
      <x:c r="B62" s="45" t="inlineStr">
        <x:is>
          <x:t>J500</x:t>
        </x:is>
      </x:c>
      <x:c r="C62" s="46" t="inlineStr">
        <x:is>
          <x:t>Tyminska, Magdalena</x:t>
        </x:is>
      </x:c>
      <x:c r="D62" s="45" t="n">
        <x:v>33.6</x:v>
      </x:c>
      <x:c r="E62" s="19" t="n">
        <x:v>86.50</x:v>
      </x:c>
      <x:c r="F62" s="19" t="n">
        <x:f>MAX(D62-E62, 0)</x:f>
        <x:v>1</x:v>
      </x:c>
      <x:c r="G62" s="47" t="n">
        <x:f>IF(D62=0,0,ABS(E62/D62))</x:f>
        <x:v>0.5</x:v>
      </x:c>
      <x:c r="H62" s="72"/>
      <x:c r="I62" s="73"/>
      <x:c r="J62" s="73"/>
      <x:c r="K62" s="74"/>
      <x:c r="L62" s="19" t="n">
        <x:v>217.6</x:v>
      </x:c>
      <x:c r="M62" s="57"/>
      <x:c r="N62" s="54"/>
      <x:c r="O62" s="71"/>
      <x:c r="P62" s="29"/>
      <x:c r="Q62" s="30"/>
      <x:c r="R62" s="31"/>
      <x:c r="S62" s="31"/>
    </x:row>
    <x:row r="63" spans="1:19" s="7" customFormat="1" outlineLevel="1" x14ac:dyDescent="0.2">
      <x:c r="A63" s="5"/>
      <x:c r="B63" s="58" t="inlineStr">
        <x:v>49</x:v>
        <x:is>
          <x:t>Total J500</x:t>
        </x:is>
      </x:c>
      <x:c r="C63" s="59"/>
      <x:c r="D63" s="58" t="n">
        <x:v>1065.45</x:v>
      </x:c>
      <x:c r="E63" s="60" t="n">
        <x:v>641.25</x:v>
      </x:c>
      <x:c r="F63" s="60" t="n">
        <x:f>MAX(D63-E63, 0)</x:f>
        <x:v>1</x:v>
      </x:c>
      <x:c r="G63" s="61" t="n">
        <x:f>IF(D63=0,0,ABS(E63/D63))</x:f>
        <x:v>0.5</x:v>
      </x:c>
      <x:c r="H63" s="58" t="n">
        <x:v>8764.7</x:v>
      </x:c>
      <x:c r="I63" s="60" t="n">
        <x:v>8385.75</x:v>
      </x:c>
      <x:c r="J63" s="62" t="n">
        <x:f>IF(H63=0,"No plan at start",I63/H63)</x:f>
        <x:v>2</x:v>
      </x:c>
      <x:c r="K63" s="60" t="n">
        <x:f>MAX(H63-I63, 0)</x:f>
        <x:v>0</x:v>
      </x:c>
      <x:c r="L63" s="60" t="n">
        <x:v>4757.43</x:v>
      </x:c>
      <x:c r="M63" s="60" t="n">
        <x:f>I63+L63</x:f>
        <x:v>3</x:v>
      </x:c>
      <x:c r="N63" s="60" t="n">
        <x:f>M63-H63</x:f>
        <x:v>2</x:v>
      </x:c>
      <x:c r="O63" s="61" t="n">
        <x:f>IF(H63=0,"No plan at start",M63/H63)</x:f>
        <x:v>3</x:v>
      </x:c>
      <x:c r="P63" s="29"/>
      <x:c r="Q63" s="30"/>
      <x:c r="R63" s="31"/>
      <x:c r="S63" s="31"/>
    </x:row>
    <x:row r="64" spans="1:19" s="7" customFormat="1" hidden="1" outlineLevel="2" collapsed="1" x14ac:dyDescent="0.2">
      <x:c r="A64" s="5"/>
      <x:c r="B64" s="45" t="inlineStr">
        <x:is>
          <x:t>K358</x:t>
        </x:is>
      </x:c>
      <x:c r="C64" s="46" t="inlineStr">
        <x:is>
          <x:t>Kosiela, Jakub</x:t>
        </x:is>
      </x:c>
      <x:c r="D64" s="45" t="n">
        <x:v>0</x:v>
      </x:c>
      <x:c r="E64" s="19" t="n">
        <x:v>40</x:v>
      </x:c>
      <x:c r="F64" s="19" t="n">
        <x:f>MAX(D64-E64, 0)</x:f>
        <x:v>1</x:v>
      </x:c>
      <x:c r="G64" s="47" t="n">
        <x:f>IF(D64=0,0,ABS(E64/D64))</x:f>
        <x:v>0.5</x:v>
      </x:c>
      <x:c r="H64" s="52"/>
      <x:c r="I64" s="50"/>
      <x:c r="J64" s="50"/>
      <x:c r="K64" s="51"/>
      <x:c r="L64" s="19" t="n">
        <x:v>0</x:v>
      </x:c>
      <x:c r="M64" s="56"/>
      <x:c r="N64" s="50"/>
      <x:c r="O64" s="70"/>
      <x:c r="P64" s="29"/>
      <x:c r="Q64" s="30"/>
      <x:c r="R64" s="31"/>
      <x:c r="S64" s="31"/>
    </x:row>
    <x:row r="65" spans="1:19" s="7" customFormat="1" hidden="1" outlineLevel="2" collapsed="1" x14ac:dyDescent="0.2">
      <x:c r="A65" s="5"/>
      <x:c r="B65" s="45" t="inlineStr">
        <x:is>
          <x:t>K358</x:t>
        </x:is>
      </x:c>
      <x:c r="C65" s="46" t="inlineStr">
        <x:is>
          <x:t>Wierzbicki, Jaroslaw</x:t>
        </x:is>
      </x:c>
      <x:c r="D65" s="45" t="n">
        <x:v>0</x:v>
      </x:c>
      <x:c r="E65" s="19" t="n">
        <x:v>3.50</x:v>
      </x:c>
      <x:c r="F65" s="19" t="n">
        <x:f>MAX(D65-E65, 0)</x:f>
        <x:v>1</x:v>
      </x:c>
      <x:c r="G65" s="47" t="n">
        <x:f>IF(D65=0,0,ABS(E65/D65))</x:f>
        <x:v>0.5</x:v>
      </x:c>
      <x:c r="H65" s="72"/>
      <x:c r="I65" s="73"/>
      <x:c r="J65" s="73"/>
      <x:c r="K65" s="74"/>
      <x:c r="L65" s="19" t="n">
        <x:v>0</x:v>
      </x:c>
      <x:c r="M65" s="57"/>
      <x:c r="N65" s="54"/>
      <x:c r="O65" s="71"/>
      <x:c r="P65" s="29"/>
      <x:c r="Q65" s="30"/>
      <x:c r="R65" s="31"/>
      <x:c r="S65" s="31"/>
    </x:row>
    <x:row r="66" spans="1:19" s="7" customFormat="1" outlineLevel="1" x14ac:dyDescent="0.2">
      <x:c r="A66" s="5"/>
      <x:c r="B66" s="58" t="inlineStr">
        <x:v>49</x:v>
        <x:is>
          <x:t>Total K358</x:t>
        </x:is>
      </x:c>
      <x:c r="C66" s="59"/>
      <x:c r="D66" s="58" t="n">
        <x:v>0</x:v>
      </x:c>
      <x:c r="E66" s="60" t="n">
        <x:v>43.50</x:v>
      </x:c>
      <x:c r="F66" s="60" t="n">
        <x:f>MAX(D66-E66, 0)</x:f>
        <x:v>1</x:v>
      </x:c>
      <x:c r="G66" s="61" t="n">
        <x:f>IF(D66=0,0,ABS(E66/D66))</x:f>
        <x:v>0.5</x:v>
      </x:c>
      <x:c r="H66" s="58" t="n">
        <x:v>0</x:v>
      </x:c>
      <x:c r="I66" s="60" t="n">
        <x:v>315.75</x:v>
      </x:c>
      <x:c r="J66" s="62" t="n">
        <x:f>IF(H66=0,"No plan at start",I66/H66)</x:f>
        <x:v>2</x:v>
      </x:c>
      <x:c r="K66" s="60" t="n">
        <x:f>MAX(H66-I66, 0)</x:f>
        <x:v>0</x:v>
      </x:c>
      <x:c r="L66" s="60" t="n">
        <x:v>0</x:v>
      </x:c>
      <x:c r="M66" s="60" t="n">
        <x:f>I66+L66</x:f>
        <x:v>3</x:v>
      </x:c>
      <x:c r="N66" s="60" t="n">
        <x:f>M66-H66</x:f>
        <x:v>2</x:v>
      </x:c>
      <x:c r="O66" s="61" t="n">
        <x:f>IF(H66=0,"No plan at start",M66/H66)</x:f>
        <x:v>3</x:v>
      </x:c>
      <x:c r="P66" s="29"/>
      <x:c r="Q66" s="30"/>
      <x:c r="R66" s="31"/>
      <x:c r="S66" s="31"/>
    </x:row>
    <x:row r="67" spans="1:19" s="7" customFormat="1" hidden="1" outlineLevel="2" collapsed="1" x14ac:dyDescent="0.2">
      <x:c r="A67" s="5"/>
      <x:c r="B67" s="45" t="inlineStr">
        <x:is>
          <x:t>K504</x:t>
        </x:is>
      </x:c>
      <x:c r="C67" s="46" t="inlineStr">
        <x:is>
          <x:t>Kowalski, Stefan</x:t>
        </x:is>
      </x:c>
      <x:c r="D67" s="45" t="n">
        <x:v>0</x:v>
      </x:c>
      <x:c r="E67" s="19" t="n">
        <x:v>54.0</x:v>
      </x:c>
      <x:c r="F67" s="19" t="n">
        <x:f>MAX(D67-E67, 0)</x:f>
        <x:v>1</x:v>
      </x:c>
      <x:c r="G67" s="47" t="n">
        <x:f>IF(D67=0,0,ABS(E67/D67))</x:f>
        <x:v>0.5</x:v>
      </x:c>
      <x:c r="H67" s="52"/>
      <x:c r="I67" s="50"/>
      <x:c r="J67" s="50"/>
      <x:c r="K67" s="51"/>
      <x:c r="L67" s="19" t="n">
        <x:v>0</x:v>
      </x:c>
      <x:c r="M67" s="56"/>
      <x:c r="N67" s="50"/>
      <x:c r="O67" s="70"/>
      <x:c r="P67" s="29"/>
      <x:c r="Q67" s="30"/>
      <x:c r="R67" s="31"/>
      <x:c r="S67" s="31"/>
    </x:row>
    <x:row r="68" spans="1:19" s="7" customFormat="1" hidden="1" outlineLevel="2" collapsed="1" x14ac:dyDescent="0.2">
      <x:c r="A68" s="5"/>
      <x:c r="B68" s="45" t="inlineStr">
        <x:is>
          <x:t>K504</x:t>
        </x:is>
      </x:c>
      <x:c r="C68" s="46" t="inlineStr">
        <x:is>
          <x:t>Swiderski, Michal</x:t>
        </x:is>
      </x:c>
      <x:c r="D68" s="45" t="n">
        <x:v>0</x:v>
      </x:c>
      <x:c r="E68" s="19" t="n">
        <x:v>25.75</x:v>
      </x:c>
      <x:c r="F68" s="19" t="n">
        <x:f>MAX(D68-E68, 0)</x:f>
        <x:v>1</x:v>
      </x:c>
      <x:c r="G68" s="47" t="n">
        <x:f>IF(D68=0,0,ABS(E68/D68))</x:f>
        <x:v>0.5</x:v>
      </x:c>
      <x:c r="H68" s="72"/>
      <x:c r="I68" s="73"/>
      <x:c r="J68" s="73"/>
      <x:c r="K68" s="74"/>
      <x:c r="L68" s="19" t="n">
        <x:v>0</x:v>
      </x:c>
      <x:c r="M68" s="75"/>
      <x:c r="N68" s="73"/>
      <x:c r="O68" s="76"/>
      <x:c r="P68" s="29"/>
      <x:c r="Q68" s="30"/>
      <x:c r="R68" s="31"/>
      <x:c r="S68" s="31"/>
    </x:row>
    <x:row r="69" spans="1:19" s="7" customFormat="1" hidden="1" outlineLevel="2" collapsed="1" x14ac:dyDescent="0.2">
      <x:c r="A69" s="5"/>
      <x:c r="B69" s="45" t="inlineStr">
        <x:is>
          <x:t>K504</x:t>
        </x:is>
      </x:c>
      <x:c r="C69" s="46" t="inlineStr">
        <x:is>
          <x:t>Szydlik, Mariusz</x:t>
        </x:is>
      </x:c>
      <x:c r="D69" s="45" t="n">
        <x:v>0</x:v>
      </x:c>
      <x:c r="E69" s="19" t="n">
        <x:v>41</x:v>
      </x:c>
      <x:c r="F69" s="19" t="n">
        <x:f>MAX(D69-E69, 0)</x:f>
        <x:v>1</x:v>
      </x:c>
      <x:c r="G69" s="47" t="n">
        <x:f>IF(D69=0,0,ABS(E69/D69))</x:f>
        <x:v>0.5</x:v>
      </x:c>
      <x:c r="H69" s="72"/>
      <x:c r="I69" s="73"/>
      <x:c r="J69" s="73"/>
      <x:c r="K69" s="74"/>
      <x:c r="L69" s="19" t="n">
        <x:v>0</x:v>
      </x:c>
      <x:c r="M69" s="57"/>
      <x:c r="N69" s="54"/>
      <x:c r="O69" s="71"/>
      <x:c r="P69" s="29"/>
      <x:c r="Q69" s="30"/>
      <x:c r="R69" s="31"/>
      <x:c r="S69" s="31"/>
    </x:row>
    <x:row r="70" spans="1:19" s="7" customFormat="1" outlineLevel="1" x14ac:dyDescent="0.2">
      <x:c r="A70" s="5"/>
      <x:c r="B70" s="58" t="inlineStr">
        <x:v>49</x:v>
        <x:is>
          <x:t>Total K504</x:t>
        </x:is>
      </x:c>
      <x:c r="C70" s="59"/>
      <x:c r="D70" s="58" t="n">
        <x:v>0</x:v>
      </x:c>
      <x:c r="E70" s="60" t="n">
        <x:v>120.75</x:v>
      </x:c>
      <x:c r="F70" s="60" t="n">
        <x:f>MAX(D70-E70, 0)</x:f>
        <x:v>1</x:v>
      </x:c>
      <x:c r="G70" s="61" t="n">
        <x:f>IF(D70=0,0,ABS(E70/D70))</x:f>
        <x:v>0.5</x:v>
      </x:c>
      <x:c r="H70" s="58" t="n">
        <x:v>0</x:v>
      </x:c>
      <x:c r="I70" s="60" t="n">
        <x:v>2034.75</x:v>
      </x:c>
      <x:c r="J70" s="62" t="n">
        <x:f>IF(H70=0,"No plan at start",I70/H70)</x:f>
        <x:v>2</x:v>
      </x:c>
      <x:c r="K70" s="60" t="n">
        <x:f>MAX(H70-I70, 0)</x:f>
        <x:v>0</x:v>
      </x:c>
      <x:c r="L70" s="60" t="n">
        <x:v>0</x:v>
      </x:c>
      <x:c r="M70" s="60" t="n">
        <x:f>I70+L70</x:f>
        <x:v>3</x:v>
      </x:c>
      <x:c r="N70" s="60" t="n">
        <x:f>M70-H70</x:f>
        <x:v>2</x:v>
      </x:c>
      <x:c r="O70" s="61" t="n">
        <x:f>IF(H70=0,"No plan at start",M70/H70)</x:f>
        <x:v>3</x:v>
      </x:c>
      <x:c r="P70" s="29"/>
      <x:c r="Q70" s="30"/>
      <x:c r="R70" s="31"/>
      <x:c r="S70" s="31"/>
    </x:row>
    <x:row r="71" spans="1:19" s="7" customFormat="1" hidden="1" outlineLevel="2" collapsed="1" x14ac:dyDescent="0.2">
      <x:c r="A71" s="5"/>
      <x:c r="B71" s="45" t="inlineStr">
        <x:is>
          <x:t>N386</x:t>
        </x:is>
      </x:c>
      <x:c r="C71" s="46" t="inlineStr">
        <x:is>
          <x:t>Romaniak, Damian</x:t>
        </x:is>
      </x:c>
      <x:c r="D71" s="45" t="n">
        <x:v>30.4</x:v>
      </x:c>
      <x:c r="E71" s="19" t="n">
        <x:v>0</x:v>
      </x:c>
      <x:c r="F71" s="19" t="n">
        <x:f>MAX(D71-E71, 0)</x:f>
        <x:v>1</x:v>
      </x:c>
      <x:c r="G71" s="47" t="n">
        <x:f>IF(D71=0,0,ABS(E71/D71))</x:f>
        <x:v>0.5</x:v>
      </x:c>
      <x:c r="H71" s="52"/>
      <x:c r="I71" s="50"/>
      <x:c r="J71" s="50"/>
      <x:c r="K71" s="51"/>
      <x:c r="L71" s="19" t="n">
        <x:v>124.0</x:v>
      </x:c>
      <x:c r="M71" s="56"/>
      <x:c r="N71" s="50"/>
      <x:c r="O71" s="70"/>
      <x:c r="P71" s="29"/>
      <x:c r="Q71" s="30"/>
      <x:c r="R71" s="31"/>
      <x:c r="S71" s="31"/>
    </x:row>
    <x:row r="72" spans="1:19" s="7" customFormat="1" hidden="1" outlineLevel="2" collapsed="1" x14ac:dyDescent="0.2">
      <x:c r="A72" s="5"/>
      <x:c r="B72" s="45" t="inlineStr">
        <x:is>
          <x:t>N386</x:t>
        </x:is>
      </x:c>
      <x:c r="C72" s="46" t="inlineStr">
        <x:is>
          <x:t>Sysik, Pawel</x:t>
        </x:is>
      </x:c>
      <x:c r="D72" s="45" t="n">
        <x:v>44.5</x:v>
      </x:c>
      <x:c r="E72" s="19" t="n">
        <x:v>0</x:v>
      </x:c>
      <x:c r="F72" s="19" t="n">
        <x:f>MAX(D72-E72, 0)</x:f>
        <x:v>1</x:v>
      </x:c>
      <x:c r="G72" s="47" t="n">
        <x:f>IF(D72=0,0,ABS(E72/D72))</x:f>
        <x:v>0.5</x:v>
      </x:c>
      <x:c r="H72" s="72"/>
      <x:c r="I72" s="73"/>
      <x:c r="J72" s="73"/>
      <x:c r="K72" s="74"/>
      <x:c r="L72" s="19" t="n">
        <x:v>82.7</x:v>
      </x:c>
      <x:c r="M72" s="57"/>
      <x:c r="N72" s="54"/>
      <x:c r="O72" s="71"/>
      <x:c r="P72" s="29"/>
      <x:c r="Q72" s="30"/>
      <x:c r="R72" s="31"/>
      <x:c r="S72" s="31"/>
    </x:row>
    <x:row r="73" spans="1:19" s="7" customFormat="1" outlineLevel="1" x14ac:dyDescent="0.2">
      <x:c r="A73" s="5"/>
      <x:c r="B73" s="58" t="inlineStr">
        <x:v>49</x:v>
        <x:is>
          <x:t>Total N386</x:t>
        </x:is>
      </x:c>
      <x:c r="C73" s="59"/>
      <x:c r="D73" s="58" t="n">
        <x:v>74.9</x:v>
      </x:c>
      <x:c r="E73" s="60" t="n">
        <x:v>0</x:v>
      </x:c>
      <x:c r="F73" s="60" t="n">
        <x:f>MAX(D73-E73, 0)</x:f>
        <x:v>1</x:v>
      </x:c>
      <x:c r="G73" s="61" t="n">
        <x:f>IF(D73=0,0,ABS(E73/D73))</x:f>
        <x:v>0.5</x:v>
      </x:c>
      <x:c r="H73" s="58" t="n">
        <x:v>0</x:v>
      </x:c>
      <x:c r="I73" s="60" t="n">
        <x:v>0</x:v>
      </x:c>
      <x:c r="J73" s="62" t="n">
        <x:f>IF(H73=0,"No plan at start",I73/H73)</x:f>
        <x:v>2</x:v>
      </x:c>
      <x:c r="K73" s="60" t="n">
        <x:f>MAX(H73-I73, 0)</x:f>
        <x:v>0</x:v>
      </x:c>
      <x:c r="L73" s="60" t="n">
        <x:v>206.7</x:v>
      </x:c>
      <x:c r="M73" s="60" t="n">
        <x:f>I73+L73</x:f>
        <x:v>3</x:v>
      </x:c>
      <x:c r="N73" s="60" t="n">
        <x:f>M73-H73</x:f>
        <x:v>2</x:v>
      </x:c>
      <x:c r="O73" s="61" t="n">
        <x:f>IF(H73=0,"No plan at start",M73/H73)</x:f>
        <x:v>3</x:v>
      </x:c>
      <x:c r="P73" s="29"/>
      <x:c r="Q73" s="30"/>
      <x:c r="R73" s="31"/>
      <x:c r="S73" s="31"/>
    </x:row>
    <x:row r="74" spans="1:19" s="7" customFormat="1" hidden="1" outlineLevel="2" collapsed="1" x14ac:dyDescent="0.2">
      <x:c r="A74" s="5"/>
      <x:c r="B74" s="45" t="inlineStr">
        <x:is>
          <x:t>N485</x:t>
        </x:is>
      </x:c>
      <x:c r="C74" s="46" t="inlineStr">
        <x:is>
          <x:t>Mroczkiewicz, Rafal</x:t>
        </x:is>
      </x:c>
      <x:c r="D74" s="45" t="n">
        <x:v>0</x:v>
      </x:c>
      <x:c r="E74" s="19" t="n">
        <x:v>0.25</x:v>
      </x:c>
      <x:c r="F74" s="19" t="n">
        <x:f>MAX(D74-E74, 0)</x:f>
        <x:v>1</x:v>
      </x:c>
      <x:c r="G74" s="47" t="n">
        <x:f>IF(D74=0,0,ABS(E74/D74))</x:f>
        <x:v>0.5</x:v>
      </x:c>
      <x:c r="H74" s="52"/>
      <x:c r="I74" s="50"/>
      <x:c r="J74" s="50"/>
      <x:c r="K74" s="51"/>
      <x:c r="L74" s="19" t="n">
        <x:v>0</x:v>
      </x:c>
      <x:c r="M74" s="56"/>
      <x:c r="N74" s="50"/>
      <x:c r="O74" s="70"/>
      <x:c r="P74" s="29"/>
      <x:c r="Q74" s="30"/>
      <x:c r="R74" s="31"/>
      <x:c r="S74" s="31"/>
    </x:row>
    <x:row r="75" spans="1:19" s="7" customFormat="1" outlineLevel="1" x14ac:dyDescent="0.2">
      <x:c r="A75" s="5"/>
      <x:c r="B75" s="58" t="inlineStr">
        <x:v>49</x:v>
        <x:is>
          <x:t>Total N485</x:t>
        </x:is>
      </x:c>
      <x:c r="C75" s="59"/>
      <x:c r="D75" s="58" t="n">
        <x:v>0</x:v>
      </x:c>
      <x:c r="E75" s="60" t="n">
        <x:v>0.25</x:v>
      </x:c>
      <x:c r="F75" s="60" t="n">
        <x:f>MAX(D75-E75, 0)</x:f>
        <x:v>1</x:v>
      </x:c>
      <x:c r="G75" s="61" t="n">
        <x:f>IF(D75=0,0,ABS(E75/D75))</x:f>
        <x:v>0.5</x:v>
      </x:c>
      <x:c r="H75" s="58" t="n">
        <x:v>0</x:v>
      </x:c>
      <x:c r="I75" s="60" t="n">
        <x:v>487.00</x:v>
      </x:c>
      <x:c r="J75" s="62" t="n">
        <x:f>IF(H75=0,"No plan at start",I75/H75)</x:f>
        <x:v>2</x:v>
      </x:c>
      <x:c r="K75" s="60" t="n">
        <x:f>MAX(H75-I75, 0)</x:f>
        <x:v>0</x:v>
      </x:c>
      <x:c r="L75" s="60" t="n">
        <x:v>0</x:v>
      </x:c>
      <x:c r="M75" s="60" t="n">
        <x:f>I75+L75</x:f>
        <x:v>3</x:v>
      </x:c>
      <x:c r="N75" s="60" t="n">
        <x:f>M75-H75</x:f>
        <x:v>2</x:v>
      </x:c>
      <x:c r="O75" s="61" t="n">
        <x:f>IF(H75=0,"No plan at start",M75/H75)</x:f>
        <x:v>3</x:v>
      </x:c>
      <x:c r="P75" s="29"/>
      <x:c r="Q75" s="30"/>
      <x:c r="R75" s="31"/>
      <x:c r="S75" s="31"/>
    </x:row>
    <x:row r="76" spans="1:19" s="7" customFormat="1" hidden="1" outlineLevel="2" collapsed="1" x14ac:dyDescent="0.2">
      <x:c r="A76" s="5"/>
      <x:c r="B76" s="45" t="inlineStr">
        <x:is>
          <x:t>N694</x:t>
        </x:is>
      </x:c>
      <x:c r="C76" s="46" t="inlineStr">
        <x:is>
          <x:t>Metrak, Andrzej</x:t>
        </x:is>
      </x:c>
      <x:c r="D76" s="45" t="n">
        <x:v>30.45</x:v>
      </x:c>
      <x:c r="E76" s="19" t="n">
        <x:v>0</x:v>
      </x:c>
      <x:c r="F76" s="19" t="n">
        <x:f>MAX(D76-E76, 0)</x:f>
        <x:v>1</x:v>
      </x:c>
      <x:c r="G76" s="47" t="n">
        <x:f>IF(D76=0,0,ABS(E76/D76))</x:f>
        <x:v>0.5</x:v>
      </x:c>
      <x:c r="H76" s="52"/>
      <x:c r="I76" s="50"/>
      <x:c r="J76" s="50"/>
      <x:c r="K76" s="51"/>
      <x:c r="L76" s="19" t="n">
        <x:v>319.39</x:v>
      </x:c>
      <x:c r="M76" s="56"/>
      <x:c r="N76" s="50"/>
      <x:c r="O76" s="70"/>
      <x:c r="P76" s="29"/>
      <x:c r="Q76" s="30"/>
      <x:c r="R76" s="31"/>
      <x:c r="S76" s="31"/>
    </x:row>
    <x:row r="77" spans="1:19" s="7" customFormat="1" hidden="1" outlineLevel="2" collapsed="1" x14ac:dyDescent="0.2">
      <x:c r="A77" s="5"/>
      <x:c r="B77" s="45" t="inlineStr">
        <x:is>
          <x:t>N694</x:t>
        </x:is>
      </x:c>
      <x:c r="C77" s="46" t="inlineStr">
        <x:is>
          <x:t>Sysik, Pawel</x:t>
        </x:is>
      </x:c>
      <x:c r="D77" s="45" t="n">
        <x:v>26.73</x:v>
      </x:c>
      <x:c r="E77" s="19" t="n">
        <x:v>0</x:v>
      </x:c>
      <x:c r="F77" s="19" t="n">
        <x:f>MAX(D77-E77, 0)</x:f>
        <x:v>1</x:v>
      </x:c>
      <x:c r="G77" s="47" t="n">
        <x:f>IF(D77=0,0,ABS(E77/D77))</x:f>
        <x:v>0.5</x:v>
      </x:c>
      <x:c r="H77" s="72"/>
      <x:c r="I77" s="73"/>
      <x:c r="J77" s="73"/>
      <x:c r="K77" s="74"/>
      <x:c r="L77" s="19" t="n">
        <x:v>257.79</x:v>
      </x:c>
      <x:c r="M77" s="57"/>
      <x:c r="N77" s="54"/>
      <x:c r="O77" s="71"/>
      <x:c r="P77" s="29"/>
      <x:c r="Q77" s="30"/>
      <x:c r="R77" s="31"/>
      <x:c r="S77" s="31"/>
    </x:row>
    <x:row r="78" spans="1:19" s="7" customFormat="1" outlineLevel="1" x14ac:dyDescent="0.2">
      <x:c r="A78" s="5"/>
      <x:c r="B78" s="58" t="inlineStr">
        <x:v>49</x:v>
        <x:is>
          <x:t>Total N694</x:t>
        </x:is>
      </x:c>
      <x:c r="C78" s="59"/>
      <x:c r="D78" s="58" t="n">
        <x:v>57.18</x:v>
      </x:c>
      <x:c r="E78" s="60" t="n">
        <x:v>0</x:v>
      </x:c>
      <x:c r="F78" s="60" t="n">
        <x:f>MAX(D78-E78, 0)</x:f>
        <x:v>1</x:v>
      </x:c>
      <x:c r="G78" s="61" t="n">
        <x:f>IF(D78=0,0,ABS(E78/D78))</x:f>
        <x:v>0.5</x:v>
      </x:c>
      <x:c r="H78" s="58" t="n">
        <x:v>0</x:v>
      </x:c>
      <x:c r="I78" s="60" t="n">
        <x:v>4</x:v>
      </x:c>
      <x:c r="J78" s="62" t="n">
        <x:f>IF(H78=0,"No plan at start",I78/H78)</x:f>
        <x:v>2</x:v>
      </x:c>
      <x:c r="K78" s="60" t="n">
        <x:f>MAX(H78-I78, 0)</x:f>
        <x:v>0</x:v>
      </x:c>
      <x:c r="L78" s="60" t="n">
        <x:v>577.18</x:v>
      </x:c>
      <x:c r="M78" s="60" t="n">
        <x:f>I78+L78</x:f>
        <x:v>3</x:v>
      </x:c>
      <x:c r="N78" s="60" t="n">
        <x:f>M78-H78</x:f>
        <x:v>2</x:v>
      </x:c>
      <x:c r="O78" s="61" t="n">
        <x:f>IF(H78=0,"No plan at start",M78/H78)</x:f>
        <x:v>3</x:v>
      </x:c>
      <x:c r="P78" s="29"/>
      <x:c r="Q78" s="30"/>
      <x:c r="R78" s="31"/>
      <x:c r="S78" s="31"/>
    </x:row>
    <x:row r="79" spans="1:19" s="7" customFormat="1" hidden="1" outlineLevel="2" collapsed="1" x14ac:dyDescent="0.2">
      <x:c r="A79" s="5"/>
      <x:c r="B79" s="45" t="inlineStr">
        <x:is>
          <x:t>N706</x:t>
        </x:is>
      </x:c>
      <x:c r="C79" s="46" t="inlineStr">
        <x:is>
          <x:t>Wierzbicki, Jaroslaw</x:t>
        </x:is>
      </x:c>
      <x:c r="D79" s="45" t="n">
        <x:v>0</x:v>
      </x:c>
      <x:c r="E79" s="19" t="n">
        <x:v>1.5</x:v>
      </x:c>
      <x:c r="F79" s="19" t="n">
        <x:f>MAX(D79-E79, 0)</x:f>
        <x:v>1</x:v>
      </x:c>
      <x:c r="G79" s="47" t="n">
        <x:f>IF(D79=0,0,ABS(E79/D79))</x:f>
        <x:v>0.5</x:v>
      </x:c>
      <x:c r="H79" s="52"/>
      <x:c r="I79" s="50"/>
      <x:c r="J79" s="50"/>
      <x:c r="K79" s="51"/>
      <x:c r="L79" s="19" t="n">
        <x:v>0</x:v>
      </x:c>
      <x:c r="M79" s="56"/>
      <x:c r="N79" s="50"/>
      <x:c r="O79" s="70"/>
      <x:c r="P79" s="29"/>
      <x:c r="Q79" s="30"/>
      <x:c r="R79" s="31"/>
      <x:c r="S79" s="31"/>
    </x:row>
    <x:row r="80" spans="1:19" s="7" customFormat="1" outlineLevel="1" x14ac:dyDescent="0.2">
      <x:c r="A80" s="5"/>
      <x:c r="B80" s="58" t="inlineStr">
        <x:v>49</x:v>
        <x:is>
          <x:t>Total N706</x:t>
        </x:is>
      </x:c>
      <x:c r="C80" s="59"/>
      <x:c r="D80" s="58" t="n">
        <x:v>0</x:v>
      </x:c>
      <x:c r="E80" s="60" t="n">
        <x:v>1.5</x:v>
      </x:c>
      <x:c r="F80" s="60" t="n">
        <x:f>MAX(D80-E80, 0)</x:f>
        <x:v>1</x:v>
      </x:c>
      <x:c r="G80" s="61" t="n">
        <x:f>IF(D80=0,0,ABS(E80/D80))</x:f>
        <x:v>0.5</x:v>
      </x:c>
      <x:c r="H80" s="58" t="n">
        <x:v>0</x:v>
      </x:c>
      <x:c r="I80" s="60" t="n">
        <x:v>4.0</x:v>
      </x:c>
      <x:c r="J80" s="62" t="n">
        <x:f>IF(H80=0,"No plan at start",I80/H80)</x:f>
        <x:v>2</x:v>
      </x:c>
      <x:c r="K80" s="60" t="n">
        <x:f>MAX(H80-I80, 0)</x:f>
        <x:v>0</x:v>
      </x:c>
      <x:c r="L80" s="60" t="n">
        <x:v>0</x:v>
      </x:c>
      <x:c r="M80" s="60" t="n">
        <x:f>I80+L80</x:f>
        <x:v>3</x:v>
      </x:c>
      <x:c r="N80" s="60" t="n">
        <x:f>M80-H80</x:f>
        <x:v>2</x:v>
      </x:c>
      <x:c r="O80" s="61" t="n">
        <x:f>IF(H80=0,"No plan at start",M80/H80)</x:f>
        <x:v>3</x:v>
      </x:c>
      <x:c r="P80" s="29"/>
      <x:c r="Q80" s="30"/>
      <x:c r="R80" s="31"/>
      <x:c r="S80" s="31"/>
    </x:row>
    <x:row r="81" spans="1:19" s="7" customFormat="1" hidden="1" outlineLevel="2" collapsed="1" x14ac:dyDescent="0.2">
      <x:c r="A81" s="5"/>
      <x:c r="B81" s="45" t="inlineStr">
        <x:is>
          <x:t>N707</x:t>
        </x:is>
      </x:c>
      <x:c r="C81" s="46" t="inlineStr">
        <x:is>
          <x:t>Wierzbicki, Jaroslaw</x:t>
        </x:is>
      </x:c>
      <x:c r="D81" s="45" t="n">
        <x:v>0</x:v>
      </x:c>
      <x:c r="E81" s="19" t="n">
        <x:v>23.50</x:v>
      </x:c>
      <x:c r="F81" s="19" t="n">
        <x:f>MAX(D81-E81, 0)</x:f>
        <x:v>1</x:v>
      </x:c>
      <x:c r="G81" s="47" t="n">
        <x:f>IF(D81=0,0,ABS(E81/D81))</x:f>
        <x:v>0.5</x:v>
      </x:c>
      <x:c r="H81" s="52"/>
      <x:c r="I81" s="50"/>
      <x:c r="J81" s="50"/>
      <x:c r="K81" s="51"/>
      <x:c r="L81" s="19" t="n">
        <x:v>0</x:v>
      </x:c>
      <x:c r="M81" s="56"/>
      <x:c r="N81" s="50"/>
      <x:c r="O81" s="70"/>
      <x:c r="P81" s="29"/>
      <x:c r="Q81" s="30"/>
      <x:c r="R81" s="31"/>
      <x:c r="S81" s="31"/>
    </x:row>
    <x:row r="82" spans="1:19" s="7" customFormat="1" ht="13.5" outlineLevel="1" thickBot="1" x14ac:dyDescent="0.25">
      <x:c r="A82" s="5"/>
      <x:c r="B82" s="63" t="inlineStr">
        <x:v>49</x:v>
        <x:is>
          <x:t>Total N707</x:t>
        </x:is>
      </x:c>
      <x:c r="C82" s="64"/>
      <x:c r="D82" s="63" t="n">
        <x:v>0</x:v>
      </x:c>
      <x:c r="E82" s="65" t="n">
        <x:v>23.50</x:v>
      </x:c>
      <x:c r="F82" s="65" t="n">
        <x:f>MAX(D82-E82, 0)</x:f>
        <x:v>0</x:v>
      </x:c>
      <x:c r="G82" s="66" t="n">
        <x:f>IF(D82=0,0,ABS(E82/D82))</x:f>
        <x:v>0</x:v>
      </x:c>
      <x:c r="H82" s="63" t="n">
        <x:v>0</x:v>
      </x:c>
      <x:c r="I82" s="65" t="n">
        <x:v>192.50</x:v>
      </x:c>
      <x:c r="J82" s="67" t="n">
        <x:f>IF(H82=0,"No plan at start",I82/H82)</x:f>
        <x:v>0.5</x:v>
      </x:c>
      <x:c r="K82" s="65" t="n">
        <x:f>MAX(H82-I82, 0)</x:f>
        <x:v>1</x:v>
      </x:c>
      <x:c r="L82" s="65" t="n">
        <x:v>0</x:v>
      </x:c>
      <x:c r="M82" s="65" t="n">
        <x:f>I82+L82</x:f>
        <x:v>6</x:v>
      </x:c>
      <x:c r="N82" s="65" t="n">
        <x:f>M82-H82</x:f>
        <x:v>4</x:v>
      </x:c>
      <x:c r="O82" s="66" t="n">
        <x:f>IF(H82=0,"No plan at start",M82/H82)</x:f>
        <x:v>3</x:v>
      </x:c>
      <x:c r="P82" s="29"/>
      <x:c r="Q82" s="30"/>
      <x:c r="R82" s="31"/>
      <x:c r="S82" s="31"/>
    </x:row>
    <x:row r="83" x14ac:dyDescent="0.2"/>
    <x:row r="84" x14ac:dyDescent="0.2"/>
    <x:row r="85" spans="1:19" x14ac:dyDescent="0.2">
      <x:c r="B85" s="14" t="s">
        <x:v>30</x:v>
      </x:c>
      <x:c r="C85" s="15"/>
      <x:c r="D85" s="15"/>
      <x:c r="E85" s="15"/>
      <x:c r="F85" s="16"/>
      <x:c r="G85" s="16"/>
      <x:c r="H85" s="17"/>
      <x:c r="I85" s="7"/>
      <x:c r="J85" s="7"/>
      <x:c r="K85" s="18"/>
      <x:c r="L85" s="7"/>
      <x:c r="M85" s="25"/>
      <x:c r="N85" s="7"/>
      <x:c r="O85" s="7"/>
    </x:row>
    <x:row r="86" spans="1:19" ht="13.5" thickBot="1" x14ac:dyDescent="0.25">
      <x:c r="B86" s="7"/>
      <x:c r="C86" s="7"/>
      <x:c r="D86" s="7"/>
      <x:c r="E86" s="7"/>
      <x:c r="F86" s="7"/>
      <x:c r="G86" s="7"/>
      <x:c r="H86" s="7"/>
      <x:c r="I86" s="7"/>
      <x:c r="J86" s="7"/>
      <x:c r="K86" s="7"/>
      <x:c r="L86" s="7"/>
      <x:c r="M86" s="7"/>
      <x:c r="N86" s="7"/>
      <x:c r="O86" s="7"/>
    </x:row>
    <x:row r="87" spans="1:19" x14ac:dyDescent="0.2">
      <x:c r="B87" s="48"/>
      <x:c r="C87" s="49"/>
      <x:c r="D87" s="77" t="s">
        <x:v>39</x:v>
      </x:c>
      <x:c r="E87" s="78"/>
      <x:c r="F87" s="78"/>
      <x:c r="G87" s="79"/>
      <x:c r="H87" s="77" t="s">
        <x:v>40</x:v>
      </x:c>
      <x:c r="I87" s="78"/>
      <x:c r="J87" s="78"/>
      <x:c r="K87" s="78"/>
      <x:c r="L87" s="78"/>
      <x:c r="M87" s="78"/>
      <x:c r="N87" s="78"/>
      <x:c r="O87" s="79"/>
    </x:row>
    <x:row r="88" spans="1:19" x14ac:dyDescent="0.2">
      <x:c r="B88" s="68"/>
      <x:c r="C88" s="69"/>
      <x:c r="D88" s="36" t="s">
        <x:v>2</x:v>
      </x:c>
      <x:c r="E88" s="38" t="s">
        <x:v>3</x:v>
      </x:c>
      <x:c r="F88" s="38" t="s">
        <x:v>44</x:v>
      </x:c>
      <x:c r="G88" s="37" t="s">
        <x:v>41</x:v>
      </x:c>
      <x:c r="H88" s="36" t="s">
        <x:v>20</x:v>
      </x:c>
      <x:c r="I88" s="38" t="s">
        <x:v>34</x:v>
      </x:c>
      <x:c r="J88" s="39" t="s">
        <x:v>35</x:v>
      </x:c>
      <x:c r="K88" s="39" t="s">
        <x:v>36</x:v>
      </x:c>
      <x:c r="L88" s="38" t="s">
        <x:v>19</x:v>
      </x:c>
      <x:c r="M88" s="38" t="s">
        <x:v>37</x:v>
      </x:c>
      <x:c r="N88" s="38" t="s">
        <x:v>22</x:v>
      </x:c>
      <x:c r="O88" s="37" t="s">
        <x:v>23</x:v>
      </x:c>
    </x:row>
    <x:row r="89" spans="1:19" ht="76.5" x14ac:dyDescent="0.2">
      <x:c r="B89" s="40" t="s">
        <x:v>14</x:v>
      </x:c>
      <x:c r="C89" s="41" t="s">
        <x:v>28</x:v>
      </x:c>
      <x:c r="D89" s="40" t="s">
        <x:v>45</x:v>
      </x:c>
      <x:c r="E89" s="42" t="s">
        <x:v>15</x:v>
      </x:c>
      <x:c r="F89" s="42" t="s">
        <x:v>42</x:v>
      </x:c>
      <x:c r="G89" s="41" t="s">
        <x:v>43</x:v>
      </x:c>
      <x:c r="H89" s="40" t="s">
        <x:v>46</x:v>
      </x:c>
      <x:c r="I89" s="42" t="s">
        <x:v>31</x:v>
      </x:c>
      <x:c r="J89" s="43" t="s">
        <x:v>47</x:v>
      </x:c>
      <x:c r="K89" s="43" t="s">
        <x:v>17</x:v>
      </x:c>
      <x:c r="L89" s="42" t="s">
        <x:v>48</x:v>
      </x:c>
      <x:c r="M89" s="42" t="s">
        <x:v>32</x:v>
      </x:c>
      <x:c r="N89" s="42" t="s">
        <x:v>33</x:v>
      </x:c>
      <x:c r="O89" s="41" t="s">
        <x:v>24</x:v>
      </x:c>
    </x:row>
    <x:row r="90" spans="1:19" hidden="1" outlineLevel="2" collapsed="1" x14ac:dyDescent="0.2">
      <x:c r="B90" s="45" t="inlineStr">
        <x:is>
          <x:t>D198</x:t>
        </x:is>
      </x:c>
      <x:c r="C90" s="46" t="inlineStr">
        <x:is>
          <x:t>Sysik, Pawel</x:t>
        </x:is>
      </x:c>
      <x:c r="D90" s="45" t="n">
        <x:v>0</x:v>
      </x:c>
      <x:c r="E90" s="19" t="n">
        <x:v>44.72</x:v>
      </x:c>
      <x:c r="F90" s="19" t="n">
        <x:f>MAX(D90-E90, 0)</x:f>
        <x:v>1</x:v>
      </x:c>
      <x:c r="G90" s="47" t="n">
        <x:f>IF(D90=0,0,ABS(E90/D90))</x:f>
        <x:v>0.5</x:v>
      </x:c>
      <x:c r="H90" s="52"/>
      <x:c r="I90" s="50"/>
      <x:c r="J90" s="50"/>
      <x:c r="K90" s="51"/>
      <x:c r="L90" s="19" t="n">
        <x:v>0</x:v>
      </x:c>
      <x:c r="M90" s="50"/>
      <x:c r="N90" s="50"/>
      <x:c r="O90" s="70"/>
    </x:row>
    <x:row r="91" spans="1:19" outlineLevel="1" x14ac:dyDescent="0.2">
      <x:c r="B91" s="58" t="inlineStr">
        <x:v>49</x:v>
        <x:is>
          <x:t>Total D198</x:t>
        </x:is>
      </x:c>
      <x:c r="C91" s="59"/>
      <x:c r="D91" s="58" t="n">
        <x:v>0</x:v>
      </x:c>
      <x:c r="E91" s="60" t="n">
        <x:v>44.72</x:v>
      </x:c>
      <x:c r="F91" s="60" t="n">
        <x:f>MAX(D91-E91, 0)</x:f>
        <x:v>1</x:v>
      </x:c>
      <x:c r="G91" s="61" t="n">
        <x:f>IF(D91=0,0,ABS(E91/D91))</x:f>
        <x:v>0.5</x:v>
      </x:c>
      <x:c r="H91" s="58" t="n">
        <x:v>0</x:v>
      </x:c>
      <x:c r="I91" s="60" t="n">
        <x:v>196131.5200</x:v>
      </x:c>
      <x:c r="J91" s="62" t="n">
        <x:f>IF(H91=0,"No plan at start",I91/H91)</x:f>
        <x:v>2</x:v>
      </x:c>
      <x:c r="K91" s="60" t="n">
        <x:f>MAX(H91-I91, 0)</x:f>
        <x:v>0</x:v>
      </x:c>
      <x:c r="L91" s="60" t="n">
        <x:v>0</x:v>
      </x:c>
      <x:c r="M91" s="60" t="n">
        <x:f>I91+L91</x:f>
        <x:v>3</x:v>
      </x:c>
      <x:c r="N91" s="60" t="n">
        <x:f>M91-H91</x:f>
        <x:v>2</x:v>
      </x:c>
      <x:c r="O91" s="61" t="n">
        <x:f>IF(H91=0,"No plan at start",M91/H91)</x:f>
        <x:v>3</x:v>
      </x:c>
    </x:row>
    <x:row r="92" spans="1:19" hidden="1" outlineLevel="2" collapsed="1" x14ac:dyDescent="0.2">
      <x:c r="B92" s="45" t="inlineStr">
        <x:is>
          <x:t>E872</x:t>
        </x:is>
      </x:c>
      <x:c r="C92" s="46" t="inlineStr">
        <x:is>
          <x:t>Jozwik, Piotr</x:t>
        </x:is>
      </x:c>
      <x:c r="D92" s="45" t="n">
        <x:v>4368</x:v>
      </x:c>
      <x:c r="E92" s="19" t="n">
        <x:v>2275</x:v>
      </x:c>
      <x:c r="F92" s="19" t="n">
        <x:f>MAX(D92-E92, 0)</x:f>
        <x:v>1</x:v>
      </x:c>
      <x:c r="G92" s="47" t="n">
        <x:f>IF(D92=0,0,ABS(E92/D92))</x:f>
        <x:v>0.5</x:v>
      </x:c>
      <x:c r="H92" s="52"/>
      <x:c r="I92" s="50"/>
      <x:c r="J92" s="50"/>
      <x:c r="K92" s="51"/>
      <x:c r="L92" s="19" t="n">
        <x:v>64157.6</x:v>
      </x:c>
      <x:c r="M92" s="50"/>
      <x:c r="N92" s="50"/>
      <x:c r="O92" s="70"/>
    </x:row>
    <x:row r="93" spans="1:19" hidden="1" outlineLevel="2" collapsed="1" x14ac:dyDescent="0.2">
      <x:c r="B93" s="45" t="inlineStr">
        <x:is>
          <x:t>E872</x:t>
        </x:is>
      </x:c>
      <x:c r="C93" s="46" t="inlineStr">
        <x:is>
          <x:t>Konstanty, Slawomir</x:t>
        </x:is>
      </x:c>
      <x:c r="D93" s="45" t="n">
        <x:v>1499.4</x:v>
      </x:c>
      <x:c r="E93" s="19" t="n">
        <x:v>1058.2500</x:v>
      </x:c>
      <x:c r="F93" s="19" t="n">
        <x:f>MAX(D93-E93, 0)</x:f>
        <x:v>1</x:v>
      </x:c>
      <x:c r="G93" s="47" t="n">
        <x:f>IF(D93=0,0,ABS(E93/D93))</x:f>
        <x:v>0.5</x:v>
      </x:c>
      <x:c r="H93" s="72"/>
      <x:c r="I93" s="73"/>
      <x:c r="J93" s="73"/>
      <x:c r="K93" s="74"/>
      <x:c r="L93" s="19" t="n">
        <x:v>1091.4</x:v>
      </x:c>
      <x:c r="M93" s="73"/>
      <x:c r="N93" s="73"/>
      <x:c r="O93" s="76"/>
    </x:row>
    <x:row r="94" spans="1:19" hidden="1" outlineLevel="2" collapsed="1" x14ac:dyDescent="0.2">
      <x:c r="B94" s="45" t="inlineStr">
        <x:is>
          <x:t>E872</x:t>
        </x:is>
      </x:c>
      <x:c r="C94" s="46" t="inlineStr">
        <x:is>
          <x:t>Kosiela, Jakub</x:t>
        </x:is>
      </x:c>
      <x:c r="D94" s="45" t="n">
        <x:v>3057.6</x:v>
      </x:c>
      <x:c r="E94" s="19" t="n">
        <x:v>0</x:v>
      </x:c>
      <x:c r="F94" s="19" t="n">
        <x:f>MAX(D94-E94, 0)</x:f>
        <x:v>1</x:v>
      </x:c>
      <x:c r="G94" s="47" t="n">
        <x:f>IF(D94=0,0,ABS(E94/D94))</x:f>
        <x:v>0.5</x:v>
      </x:c>
      <x:c r="H94" s="72"/>
      <x:c r="I94" s="73"/>
      <x:c r="J94" s="73"/>
      <x:c r="K94" s="74"/>
      <x:c r="L94" s="19" t="n">
        <x:v>2225.6</x:v>
      </x:c>
      <x:c r="M94" s="73"/>
      <x:c r="N94" s="73"/>
      <x:c r="O94" s="76"/>
    </x:row>
    <x:row r="95" spans="1:19" hidden="1" outlineLevel="2" collapsed="1" x14ac:dyDescent="0.2">
      <x:c r="B95" s="45" t="inlineStr">
        <x:is>
          <x:t>E872</x:t>
        </x:is>
      </x:c>
      <x:c r="C95" s="46" t="inlineStr">
        <x:is>
          <x:t>Metrak, Andrzej</x:t>
        </x:is>
      </x:c>
      <x:c r="D95" s="45" t="n">
        <x:v>5259.072</x:v>
      </x:c>
      <x:c r="E95" s="19" t="n">
        <x:v>3108.04</x:v>
      </x:c>
      <x:c r="F95" s="19" t="n">
        <x:f>MAX(D95-E95, 0)</x:f>
        <x:v>1</x:v>
      </x:c>
      <x:c r="G95" s="47" t="n">
        <x:f>IF(D95=0,0,ABS(E95/D95))</x:f>
        <x:v>0.5</x:v>
      </x:c>
      <x:c r="H95" s="72"/>
      <x:c r="I95" s="73"/>
      <x:c r="J95" s="73"/>
      <x:c r="K95" s="74"/>
      <x:c r="L95" s="19" t="n">
        <x:v>6904.768</x:v>
      </x:c>
      <x:c r="M95" s="73"/>
      <x:c r="N95" s="73"/>
      <x:c r="O95" s="76"/>
    </x:row>
    <x:row r="96" spans="1:19" hidden="1" outlineLevel="2" collapsed="1" x14ac:dyDescent="0.2">
      <x:c r="B96" s="45" t="inlineStr">
        <x:is>
          <x:t>E872</x:t>
        </x:is>
      </x:c>
      <x:c r="C96" s="46" t="inlineStr">
        <x:is>
          <x:t>Orzol, Rafal</x:t>
        </x:is>
      </x:c>
      <x:c r="D96" s="45" t="n">
        <x:v>1749.3</x:v>
      </x:c>
      <x:c r="E96" s="19" t="n">
        <x:v>602.43750</x:v>
      </x:c>
      <x:c r="F96" s="19" t="n">
        <x:f>MAX(D96-E96, 0)</x:f>
        <x:v>1</x:v>
      </x:c>
      <x:c r="G96" s="47" t="n">
        <x:f>IF(D96=0,0,ABS(E96/D96))</x:f>
        <x:v>0.5</x:v>
      </x:c>
      <x:c r="H96" s="72"/>
      <x:c r="I96" s="73"/>
      <x:c r="J96" s="73"/>
      <x:c r="K96" s="74"/>
      <x:c r="L96" s="19" t="n">
        <x:v>2034.9</x:v>
      </x:c>
      <x:c r="M96" s="73"/>
      <x:c r="N96" s="73"/>
      <x:c r="O96" s="76"/>
    </x:row>
    <x:row r="97" spans="1:19" hidden="1" outlineLevel="2" collapsed="1" x14ac:dyDescent="0.2">
      <x:c r="B97" s="45" t="inlineStr">
        <x:is>
          <x:t>E872</x:t>
        </x:is>
      </x:c>
      <x:c r="C97" s="46" t="inlineStr">
        <x:is>
          <x:t>Suminska, Aleksandra</x:t>
        </x:is>
      </x:c>
      <x:c r="D97" s="45" t="n">
        <x:v>0</x:v>
      </x:c>
      <x:c r="E97" s="19" t="n">
        <x:v>963.5175</x:v>
      </x:c>
      <x:c r="F97" s="19" t="n">
        <x:f>MAX(D97-E97, 0)</x:f>
        <x:v>1</x:v>
      </x:c>
      <x:c r="G97" s="47" t="n">
        <x:f>IF(D97=0,0,ABS(E97/D97))</x:f>
        <x:v>0.5</x:v>
      </x:c>
      <x:c r="H97" s="72"/>
      <x:c r="I97" s="73"/>
      <x:c r="J97" s="73"/>
      <x:c r="K97" s="74"/>
      <x:c r="L97" s="19" t="n">
        <x:v>0</x:v>
      </x:c>
      <x:c r="M97" s="73"/>
      <x:c r="N97" s="73"/>
      <x:c r="O97" s="76"/>
    </x:row>
    <x:row r="98" spans="1:19" hidden="1" outlineLevel="2" collapsed="1" x14ac:dyDescent="0.2">
      <x:c r="B98" s="45" t="inlineStr">
        <x:is>
          <x:t>E872</x:t>
        </x:is>
      </x:c>
      <x:c r="C98" s="46" t="inlineStr">
        <x:is>
          <x:t>Waszczak, Bartosz</x:t>
        </x:is>
      </x:c>
      <x:c r="D98" s="45" t="n">
        <x:v>739.5</x:v>
      </x:c>
      <x:c r="E98" s="19" t="n">
        <x:v>1777.220982142859</x:v>
      </x:c>
      <x:c r="F98" s="19" t="n">
        <x:f>MAX(D98-E98, 0)</x:f>
        <x:v>1</x:v>
      </x:c>
      <x:c r="G98" s="47" t="n">
        <x:f>IF(D98=0,0,ABS(E98/D98))</x:f>
        <x:v>0.5</x:v>
      </x:c>
      <x:c r="H98" s="72"/>
      <x:c r="I98" s="73"/>
      <x:c r="J98" s="73"/>
      <x:c r="K98" s="74"/>
      <x:c r="L98" s="19" t="n">
        <x:v>1126.857142857143</x:v>
      </x:c>
      <x:c r="M98" s="73"/>
      <x:c r="N98" s="73"/>
      <x:c r="O98" s="76"/>
    </x:row>
    <x:row r="99" spans="1:19" hidden="1" outlineLevel="2" collapsed="1" x14ac:dyDescent="0.2">
      <x:c r="B99" s="45" t="inlineStr">
        <x:is>
          <x:t>E872</x:t>
        </x:is>
      </x:c>
      <x:c r="C99" s="46" t="inlineStr">
        <x:is>
          <x:t>Wieclawski, Piotr</x:t>
        </x:is>
      </x:c>
      <x:c r="D99" s="45" t="n">
        <x:v>3341.52</x:v>
      </x:c>
      <x:c r="E99" s="19" t="n">
        <x:v>0</x:v>
      </x:c>
      <x:c r="F99" s="19" t="n">
        <x:f>MAX(D99-E99, 0)</x:f>
        <x:v>1</x:v>
      </x:c>
      <x:c r="G99" s="47" t="n">
        <x:f>IF(D99=0,0,ABS(E99/D99))</x:f>
        <x:v>0.5</x:v>
      </x:c>
      <x:c r="H99" s="53"/>
      <x:c r="I99" s="54"/>
      <x:c r="J99" s="54"/>
      <x:c r="K99" s="55"/>
      <x:c r="L99" s="19" t="n">
        <x:v>1670.76</x:v>
      </x:c>
      <x:c r="M99" s="54"/>
      <x:c r="N99" s="54"/>
      <x:c r="O99" s="71"/>
    </x:row>
    <x:row r="100" spans="1:19" outlineLevel="1" x14ac:dyDescent="0.2">
      <x:c r="B100" s="58" t="inlineStr">
        <x:v>49</x:v>
        <x:is>
          <x:t>Total E872</x:t>
        </x:is>
      </x:c>
      <x:c r="C100" s="59"/>
      <x:c r="D100" s="58" t="n">
        <x:v>20014.392</x:v>
      </x:c>
      <x:c r="E100" s="60" t="n">
        <x:v>9784.465982142859</x:v>
      </x:c>
      <x:c r="F100" s="60" t="n">
        <x:f>MAX(D100-E100, 0)</x:f>
        <x:v>1</x:v>
      </x:c>
      <x:c r="G100" s="61" t="n">
        <x:f>IF(D100=0,0,ABS(E100/D100))</x:f>
        <x:v>0.5</x:v>
      </x:c>
      <x:c r="H100" s="58" t="n">
        <x:v>82474.912</x:v>
      </x:c>
      <x:c r="I100" s="60" t="n">
        <x:v>508785.7056547619127</x:v>
      </x:c>
      <x:c r="J100" s="62" t="n">
        <x:f>IF(H100=0,"No plan at start",I100/H100)</x:f>
        <x:v>2</x:v>
      </x:c>
      <x:c r="K100" s="60" t="n">
        <x:f>MAX(H100-I100, 0)</x:f>
        <x:v>0</x:v>
      </x:c>
      <x:c r="L100" s="60" t="n">
        <x:v>79211.885142857143</x:v>
      </x:c>
      <x:c r="M100" s="60" t="n">
        <x:f>I100+L100</x:f>
        <x:v>3</x:v>
      </x:c>
      <x:c r="N100" s="60" t="n">
        <x:f>M100-H100</x:f>
        <x:v>2</x:v>
      </x:c>
      <x:c r="O100" s="61" t="n">
        <x:f>IF(H100=0,"No plan at start",M100/H100)</x:f>
        <x:v>3</x:v>
      </x:c>
    </x:row>
    <x:row r="101" spans="1:19" hidden="1" outlineLevel="2" collapsed="1" x14ac:dyDescent="0.2">
      <x:c r="B101" s="45" t="inlineStr">
        <x:is>
          <x:t>F236</x:t>
        </x:is>
      </x:c>
      <x:c r="C101" s="46" t="inlineStr">
        <x:is>
          <x:t>Metrak, Andrzej</x:t>
        </x:is>
      </x:c>
      <x:c r="D101" s="45" t="n">
        <x:v>357.76</x:v>
      </x:c>
      <x:c r="E101" s="19" t="n">
        <x:v>0</x:v>
      </x:c>
      <x:c r="F101" s="19" t="n">
        <x:f>MAX(D101-E101, 0)</x:f>
        <x:v>1</x:v>
      </x:c>
      <x:c r="G101" s="47" t="n">
        <x:f>IF(D101=0,0,ABS(E101/D101))</x:f>
        <x:v>0.5</x:v>
      </x:c>
      <x:c r="H101" s="52"/>
      <x:c r="I101" s="50"/>
      <x:c r="J101" s="50"/>
      <x:c r="K101" s="51"/>
      <x:c r="L101" s="19" t="n">
        <x:v>0</x:v>
      </x:c>
      <x:c r="M101" s="50"/>
      <x:c r="N101" s="50"/>
      <x:c r="O101" s="70"/>
    </x:row>
    <x:row r="102" spans="1:19" outlineLevel="1" x14ac:dyDescent="0.2">
      <x:c r="B102" s="58" t="inlineStr">
        <x:v>49</x:v>
        <x:is>
          <x:t>Total F236</x:t>
        </x:is>
      </x:c>
      <x:c r="C102" s="59"/>
      <x:c r="D102" s="58" t="n">
        <x:v>357.76</x:v>
      </x:c>
      <x:c r="E102" s="60" t="n">
        <x:v>0</x:v>
      </x:c>
      <x:c r="F102" s="60" t="n">
        <x:f>MAX(D102-E102, 0)</x:f>
        <x:v>1</x:v>
      </x:c>
      <x:c r="G102" s="61" t="n">
        <x:f>IF(D102=0,0,ABS(E102/D102))</x:f>
        <x:v>0.5</x:v>
      </x:c>
      <x:c r="H102" s="58" t="n">
        <x:v>0</x:v>
      </x:c>
      <x:c r="I102" s="60" t="n">
        <x:v>335.4</x:v>
      </x:c>
      <x:c r="J102" s="62" t="n">
        <x:f>IF(H102=0,"No plan at start",I102/H102)</x:f>
        <x:v>2</x:v>
      </x:c>
      <x:c r="K102" s="60" t="n">
        <x:f>MAX(H102-I102, 0)</x:f>
        <x:v>0</x:v>
      </x:c>
      <x:c r="L102" s="60" t="n">
        <x:v>0</x:v>
      </x:c>
      <x:c r="M102" s="60" t="n">
        <x:f>I102+L102</x:f>
        <x:v>3</x:v>
      </x:c>
      <x:c r="N102" s="60" t="n">
        <x:f>M102-H102</x:f>
        <x:v>2</x:v>
      </x:c>
      <x:c r="O102" s="61" t="n">
        <x:f>IF(H102=0,"No plan at start",M102/H102)</x:f>
        <x:v>3</x:v>
      </x:c>
    </x:row>
    <x:row r="103" spans="1:19" hidden="1" outlineLevel="2" collapsed="1" x14ac:dyDescent="0.2">
      <x:c r="B103" s="45" t="inlineStr">
        <x:is>
          <x:t>F808</x:t>
        </x:is>
      </x:c>
      <x:c r="C103" s="46" t="inlineStr">
        <x:is>
          <x:t>Wierzbicki, Jaroslaw</x:t>
        </x:is>
      </x:c>
      <x:c r="D103" s="45" t="n">
        <x:v>0</x:v>
      </x:c>
      <x:c r="E103" s="19" t="n">
        <x:v>22.36</x:v>
      </x:c>
      <x:c r="F103" s="19" t="n">
        <x:f>MAX(D103-E103, 0)</x:f>
        <x:v>1</x:v>
      </x:c>
      <x:c r="G103" s="47" t="n">
        <x:f>IF(D103=0,0,ABS(E103/D103))</x:f>
        <x:v>0.5</x:v>
      </x:c>
      <x:c r="H103" s="52"/>
      <x:c r="I103" s="50"/>
      <x:c r="J103" s="50"/>
      <x:c r="K103" s="51"/>
      <x:c r="L103" s="19" t="n">
        <x:v>0</x:v>
      </x:c>
      <x:c r="M103" s="50"/>
      <x:c r="N103" s="50"/>
      <x:c r="O103" s="70"/>
    </x:row>
    <x:row r="104" spans="1:19" outlineLevel="1" x14ac:dyDescent="0.2">
      <x:c r="B104" s="58" t="inlineStr">
        <x:v>49</x:v>
        <x:is>
          <x:t>Total F808</x:t>
        </x:is>
      </x:c>
      <x:c r="C104" s="59"/>
      <x:c r="D104" s="58" t="n">
        <x:v>0</x:v>
      </x:c>
      <x:c r="E104" s="60" t="n">
        <x:v>22.36</x:v>
      </x:c>
      <x:c r="F104" s="60" t="n">
        <x:f>MAX(D104-E104, 0)</x:f>
        <x:v>1</x:v>
      </x:c>
      <x:c r="G104" s="61" t="n">
        <x:f>IF(D104=0,0,ABS(E104/D104))</x:f>
        <x:v>0.5</x:v>
      </x:c>
      <x:c r="H104" s="58" t="n">
        <x:v>11090.56</x:v>
      </x:c>
      <x:c r="I104" s="60" t="n">
        <x:v>456202.205</x:v>
      </x:c>
      <x:c r="J104" s="62" t="n">
        <x:f>IF(H104=0,"No plan at start",I104/H104)</x:f>
        <x:v>2</x:v>
      </x:c>
      <x:c r="K104" s="60" t="n">
        <x:f>MAX(H104-I104, 0)</x:f>
        <x:v>0</x:v>
      </x:c>
      <x:c r="L104" s="60" t="n">
        <x:v>0</x:v>
      </x:c>
      <x:c r="M104" s="60" t="n">
        <x:f>I104+L104</x:f>
        <x:v>3</x:v>
      </x:c>
      <x:c r="N104" s="60" t="n">
        <x:f>M104-H104</x:f>
        <x:v>2</x:v>
      </x:c>
      <x:c r="O104" s="61" t="n">
        <x:f>IF(H104=0,"No plan at start",M104/H104)</x:f>
        <x:v>3</x:v>
      </x:c>
    </x:row>
    <x:row r="105" spans="1:19" hidden="1" outlineLevel="2" collapsed="1" x14ac:dyDescent="0.2">
      <x:c r="B105" s="45" t="inlineStr">
        <x:is>
          <x:t>F958</x:t>
        </x:is>
      </x:c>
      <x:c r="C105" s="46" t="inlineStr">
        <x:is>
          <x:t>Liana, Marcin</x:t>
        </x:is>
      </x:c>
      <x:c r="D105" s="45" t="n">
        <x:v>0</x:v>
      </x:c>
      <x:c r="E105" s="19" t="n">
        <x:v>0</x:v>
      </x:c>
      <x:c r="F105" s="19" t="n">
        <x:f>MAX(D105-E105, 0)</x:f>
        <x:v>1</x:v>
      </x:c>
      <x:c r="G105" s="47" t="n">
        <x:f>IF(D105=0,0,ABS(E105/D105))</x:f>
        <x:v>0.5</x:v>
      </x:c>
      <x:c r="H105" s="52"/>
      <x:c r="I105" s="50"/>
      <x:c r="J105" s="50"/>
      <x:c r="K105" s="51"/>
      <x:c r="L105" s="19" t="n">
        <x:v>2314.78</x:v>
      </x:c>
      <x:c r="M105" s="50"/>
      <x:c r="N105" s="50"/>
      <x:c r="O105" s="70"/>
    </x:row>
    <x:row r="106" spans="1:19" hidden="1" outlineLevel="2" collapsed="1" x14ac:dyDescent="0.2">
      <x:c r="B106" s="45" t="inlineStr">
        <x:is>
          <x:t>F958</x:t>
        </x:is>
      </x:c>
      <x:c r="C106" s="46" t="inlineStr">
        <x:is>
          <x:t>Metrak, Andrzej</x:t>
        </x:is>
      </x:c>
      <x:c r="D106" s="45" t="n">
        <x:v>0</x:v>
      </x:c>
      <x:c r="E106" s="19" t="n">
        <x:v>0</x:v>
      </x:c>
      <x:c r="F106" s="19" t="n">
        <x:f>MAX(D106-E106, 0)</x:f>
        <x:v>1</x:v>
      </x:c>
      <x:c r="G106" s="47" t="n">
        <x:f>IF(D106=0,0,ABS(E106/D106))</x:f>
        <x:v>0.5</x:v>
      </x:c>
      <x:c r="H106" s="72"/>
      <x:c r="I106" s="73"/>
      <x:c r="J106" s="73"/>
      <x:c r="K106" s="74"/>
      <x:c r="L106" s="19" t="n">
        <x:v>3663.4624</x:v>
      </x:c>
      <x:c r="M106" s="73"/>
      <x:c r="N106" s="73"/>
      <x:c r="O106" s="76"/>
    </x:row>
    <x:row r="107" spans="1:19" hidden="1" outlineLevel="2" collapsed="1" x14ac:dyDescent="0.2">
      <x:c r="B107" s="45" t="inlineStr">
        <x:is>
          <x:t>F958</x:t>
        </x:is>
      </x:c>
      <x:c r="C107" s="46" t="inlineStr">
        <x:is>
          <x:t>Michniewicz, Agnieszka</x:t>
        </x:is>
      </x:c>
      <x:c r="D107" s="45" t="n">
        <x:v>0</x:v>
      </x:c>
      <x:c r="E107" s="19" t="n">
        <x:v>0</x:v>
      </x:c>
      <x:c r="F107" s="19" t="n">
        <x:f>MAX(D107-E107, 0)</x:f>
        <x:v>1</x:v>
      </x:c>
      <x:c r="G107" s="47" t="n">
        <x:f>IF(D107=0,0,ABS(E107/D107))</x:f>
        <x:v>0.5</x:v>
      </x:c>
      <x:c r="H107" s="53"/>
      <x:c r="I107" s="54"/>
      <x:c r="J107" s="54"/>
      <x:c r="K107" s="55"/>
      <x:c r="L107" s="19" t="n">
        <x:v>3981.4216</x:v>
      </x:c>
      <x:c r="M107" s="54"/>
      <x:c r="N107" s="54"/>
      <x:c r="O107" s="71"/>
    </x:row>
    <x:row r="108" spans="1:19" outlineLevel="1" x14ac:dyDescent="0.2">
      <x:c r="B108" s="58" t="inlineStr">
        <x:v>49</x:v>
        <x:is>
          <x:t>Total F958</x:t>
        </x:is>
      </x:c>
      <x:c r="C108" s="59"/>
      <x:c r="D108" s="58" t="n">
        <x:v>0</x:v>
      </x:c>
      <x:c r="E108" s="60" t="n">
        <x:v>0</x:v>
      </x:c>
      <x:c r="F108" s="60" t="n">
        <x:f>MAX(D108-E108, 0)</x:f>
        <x:v>1</x:v>
      </x:c>
      <x:c r="G108" s="61" t="n">
        <x:f>IF(D108=0,0,ABS(E108/D108))</x:f>
        <x:v>0.5</x:v>
      </x:c>
      <x:c r="H108" s="58" t="n">
        <x:v>0</x:v>
      </x:c>
      <x:c r="I108" s="60" t="n">
        <x:v>11665.42</x:v>
      </x:c>
      <x:c r="J108" s="62" t="n">
        <x:f>IF(H108=0,"No plan at start",I108/H108)</x:f>
        <x:v>2</x:v>
      </x:c>
      <x:c r="K108" s="60" t="n">
        <x:f>MAX(H108-I108, 0)</x:f>
        <x:v>0</x:v>
      </x:c>
      <x:c r="L108" s="60" t="n">
        <x:v>9959.6640</x:v>
      </x:c>
      <x:c r="M108" s="60" t="n">
        <x:f>I108+L108</x:f>
        <x:v>3</x:v>
      </x:c>
      <x:c r="N108" s="60" t="n">
        <x:f>M108-H108</x:f>
        <x:v>2</x:v>
      </x:c>
      <x:c r="O108" s="61" t="n">
        <x:f>IF(H108=0,"No plan at start",M108/H108)</x:f>
        <x:v>3</x:v>
      </x:c>
    </x:row>
    <x:row r="109" spans="1:19" hidden="1" outlineLevel="2" collapsed="1" x14ac:dyDescent="0.2">
      <x:c r="B109" s="45" t="inlineStr">
        <x:is>
          <x:t>G429</x:t>
        </x:is>
      </x:c>
      <x:c r="C109" s="46" t="inlineStr">
        <x:is>
          <x:t>Mroczkiewicz, Rafal</x:t>
        </x:is>
      </x:c>
      <x:c r="D109" s="45" t="n">
        <x:v>0</x:v>
      </x:c>
      <x:c r="E109" s="19" t="n">
        <x:v>358.020</x:v>
      </x:c>
      <x:c r="F109" s="19" t="n">
        <x:f>MAX(D109-E109, 0)</x:f>
        <x:v>1</x:v>
      </x:c>
      <x:c r="G109" s="47" t="n">
        <x:f>IF(D109=0,0,ABS(E109/D109))</x:f>
        <x:v>0.5</x:v>
      </x:c>
      <x:c r="H109" s="52"/>
      <x:c r="I109" s="50"/>
      <x:c r="J109" s="50"/>
      <x:c r="K109" s="51"/>
      <x:c r="L109" s="19" t="n">
        <x:v>0</x:v>
      </x:c>
      <x:c r="M109" s="50"/>
      <x:c r="N109" s="50"/>
      <x:c r="O109" s="70"/>
    </x:row>
    <x:row r="110" spans="1:19" hidden="1" outlineLevel="2" collapsed="1" x14ac:dyDescent="0.2">
      <x:c r="B110" s="45" t="inlineStr">
        <x:is>
          <x:t>G429</x:t>
        </x:is>
      </x:c>
      <x:c r="C110" s="46" t="inlineStr">
        <x:is>
          <x:t>Sysik, Pawel</x:t>
        </x:is>
      </x:c>
      <x:c r="D110" s="45" t="n">
        <x:v>0</x:v>
      </x:c>
      <x:c r="E110" s="19" t="n">
        <x:v>44.72</x:v>
      </x:c>
      <x:c r="F110" s="19" t="n">
        <x:f>MAX(D110-E110, 0)</x:f>
        <x:v>1</x:v>
      </x:c>
      <x:c r="G110" s="47" t="n">
        <x:f>IF(D110=0,0,ABS(E110/D110))</x:f>
        <x:v>0.5</x:v>
      </x:c>
      <x:c r="H110" s="72"/>
      <x:c r="I110" s="73"/>
      <x:c r="J110" s="73"/>
      <x:c r="K110" s="74"/>
      <x:c r="L110" s="19" t="n">
        <x:v>1073.28</x:v>
      </x:c>
      <x:c r="M110" s="73"/>
      <x:c r="N110" s="73"/>
      <x:c r="O110" s="76"/>
    </x:row>
    <x:row r="111" spans="1:19" hidden="1" outlineLevel="2" collapsed="1" x14ac:dyDescent="0.2">
      <x:c r="B111" s="45" t="inlineStr">
        <x:is>
          <x:t>G429</x:t>
        </x:is>
      </x:c>
      <x:c r="C111" s="46" t="inlineStr">
        <x:is>
          <x:t>Wierzbicki, Jaroslaw</x:t>
        </x:is>
      </x:c>
      <x:c r="D111" s="45" t="n">
        <x:v>0</x:v>
      </x:c>
      <x:c r="E111" s="19" t="n">
        <x:v>2113.02</x:v>
      </x:c>
      <x:c r="F111" s="19" t="n">
        <x:f>MAX(D111-E111, 0)</x:f>
        <x:v>1</x:v>
      </x:c>
      <x:c r="G111" s="47" t="n">
        <x:f>IF(D111=0,0,ABS(E111/D111))</x:f>
        <x:v>0.5</x:v>
      </x:c>
      <x:c r="H111" s="53"/>
      <x:c r="I111" s="54"/>
      <x:c r="J111" s="54"/>
      <x:c r="K111" s="55"/>
      <x:c r="L111" s="19" t="n">
        <x:v>0</x:v>
      </x:c>
      <x:c r="M111" s="54"/>
      <x:c r="N111" s="54"/>
      <x:c r="O111" s="71"/>
    </x:row>
    <x:row r="112" spans="1:19" outlineLevel="1" x14ac:dyDescent="0.2">
      <x:c r="B112" s="58" t="inlineStr">
        <x:v>49</x:v>
        <x:is>
          <x:t>Total G429</x:t>
        </x:is>
      </x:c>
      <x:c r="C112" s="59"/>
      <x:c r="D112" s="58" t="n">
        <x:v>0</x:v>
      </x:c>
      <x:c r="E112" s="60" t="n">
        <x:v>2515.760</x:v>
      </x:c>
      <x:c r="F112" s="60" t="n">
        <x:f>MAX(D112-E112, 0)</x:f>
        <x:v>1</x:v>
      </x:c>
      <x:c r="G112" s="61" t="n">
        <x:f>IF(D112=0,0,ABS(E112/D112))</x:f>
        <x:v>0.5</x:v>
      </x:c>
      <x:c r="H112" s="58" t="n">
        <x:v>29216</x:v>
      </x:c>
      <x:c r="I112" s="60" t="n">
        <x:v>128929.450</x:v>
      </x:c>
      <x:c r="J112" s="62" t="n">
        <x:f>IF(H112=0,"No plan at start",I112/H112)</x:f>
        <x:v>2</x:v>
      </x:c>
      <x:c r="K112" s="60" t="n">
        <x:f>MAX(H112-I112, 0)</x:f>
        <x:v>0</x:v>
      </x:c>
      <x:c r="L112" s="60" t="n">
        <x:v>1073.28</x:v>
      </x:c>
      <x:c r="M112" s="60" t="n">
        <x:f>I112+L112</x:f>
        <x:v>3</x:v>
      </x:c>
      <x:c r="N112" s="60" t="n">
        <x:f>M112-H112</x:f>
        <x:v>2</x:v>
      </x:c>
      <x:c r="O112" s="61" t="n">
        <x:f>IF(H112=0,"No plan at start",M112/H112)</x:f>
        <x:v>3</x:v>
      </x:c>
    </x:row>
    <x:row r="113" spans="1:19" hidden="1" outlineLevel="2" collapsed="1" x14ac:dyDescent="0.2">
      <x:c r="B113" s="45" t="inlineStr">
        <x:is>
          <x:t>H808</x:t>
        </x:is>
      </x:c>
      <x:c r="C113" s="46" t="inlineStr">
        <x:is>
          <x:t>Figlewicz, Adam</x:t>
        </x:is>
      </x:c>
      <x:c r="D113" s="45" t="n">
        <x:v>1542.24</x:v>
      </x:c>
      <x:c r="E113" s="19" t="n">
        <x:v>151.47</x:v>
      </x:c>
      <x:c r="F113" s="19" t="n">
        <x:f>MAX(D113-E113, 0)</x:f>
        <x:v>1</x:v>
      </x:c>
      <x:c r="G113" s="47" t="n">
        <x:f>IF(D113=0,0,ABS(E113/D113))</x:f>
        <x:v>0.5</x:v>
      </x:c>
      <x:c r="H113" s="52"/>
      <x:c r="I113" s="50"/>
      <x:c r="J113" s="50"/>
      <x:c r="K113" s="51"/>
      <x:c r="L113" s="19" t="n">
        <x:v>0</x:v>
      </x:c>
      <x:c r="M113" s="50"/>
      <x:c r="N113" s="50"/>
      <x:c r="O113" s="70"/>
    </x:row>
    <x:row r="114" spans="1:19" hidden="1" outlineLevel="2" collapsed="1" x14ac:dyDescent="0.2">
      <x:c r="B114" s="45" t="inlineStr">
        <x:is>
          <x:t>H808</x:t>
        </x:is>
      </x:c>
      <x:c r="C114" s="46" t="inlineStr">
        <x:is>
          <x:t>Janik, Piotr</x:t>
        </x:is>
      </x:c>
      <x:c r="D114" s="45" t="n">
        <x:v>1542.24</x:v>
      </x:c>
      <x:c r="E114" s="19" t="n">
        <x:v>839.970</x:v>
      </x:c>
      <x:c r="F114" s="19" t="n">
        <x:f>MAX(D114-E114, 0)</x:f>
        <x:v>1</x:v>
      </x:c>
      <x:c r="G114" s="47" t="n">
        <x:f>IF(D114=0,0,ABS(E114/D114))</x:f>
        <x:v>0.5</x:v>
      </x:c>
      <x:c r="H114" s="72"/>
      <x:c r="I114" s="73"/>
      <x:c r="J114" s="73"/>
      <x:c r="K114" s="74"/>
      <x:c r="L114" s="19" t="n">
        <x:v>0</x:v>
      </x:c>
      <x:c r="M114" s="73"/>
      <x:c r="N114" s="73"/>
      <x:c r="O114" s="76"/>
    </x:row>
    <x:row r="115" spans="1:19" hidden="1" outlineLevel="2" collapsed="1" x14ac:dyDescent="0.2">
      <x:c r="B115" s="45" t="inlineStr">
        <x:is>
          <x:t>H808</x:t>
        </x:is>
      </x:c>
      <x:c r="C115" s="46" t="inlineStr">
        <x:is>
          <x:t>Klek, Andrzej</x:t>
        </x:is>
      </x:c>
      <x:c r="D115" s="45" t="n">
        <x:v>0</x:v>
      </x:c>
      <x:c r="E115" s="19" t="n">
        <x:v>884</x:v>
      </x:c>
      <x:c r="F115" s="19" t="n">
        <x:f>MAX(D115-E115, 0)</x:f>
        <x:v>1</x:v>
      </x:c>
      <x:c r="G115" s="47" t="n">
        <x:f>IF(D115=0,0,ABS(E115/D115))</x:f>
        <x:v>0.5</x:v>
      </x:c>
      <x:c r="H115" s="72"/>
      <x:c r="I115" s="73"/>
      <x:c r="J115" s="73"/>
      <x:c r="K115" s="74"/>
      <x:c r="L115" s="19" t="n">
        <x:v>0</x:v>
      </x:c>
      <x:c r="M115" s="73"/>
      <x:c r="N115" s="73"/>
      <x:c r="O115" s="76"/>
    </x:row>
    <x:row r="116" spans="1:19" hidden="1" outlineLevel="2" collapsed="1" x14ac:dyDescent="0.2">
      <x:c r="B116" s="45" t="inlineStr">
        <x:is>
          <x:t>H808</x:t>
        </x:is>
      </x:c>
      <x:c r="C116" s="46" t="inlineStr">
        <x:is>
          <x:t>Kowalska, Justyna</x:t>
        </x:is>
      </x:c>
      <x:c r="D116" s="45" t="n">
        <x:v>1799.28</x:v>
      </x:c>
      <x:c r="E116" s="19" t="n">
        <x:v>449.8200</x:v>
      </x:c>
      <x:c r="F116" s="19" t="n">
        <x:f>MAX(D116-E116, 0)</x:f>
        <x:v>1</x:v>
      </x:c>
      <x:c r="G116" s="47" t="n">
        <x:f>IF(D116=0,0,ABS(E116/D116))</x:f>
        <x:v>0.5</x:v>
      </x:c>
      <x:c r="H116" s="72"/>
      <x:c r="I116" s="73"/>
      <x:c r="J116" s="73"/>
      <x:c r="K116" s="74"/>
      <x:c r="L116" s="19" t="n">
        <x:v>0</x:v>
      </x:c>
      <x:c r="M116" s="73"/>
      <x:c r="N116" s="73"/>
      <x:c r="O116" s="76"/>
    </x:row>
    <x:row r="117" spans="1:19" hidden="1" outlineLevel="2" collapsed="1" x14ac:dyDescent="0.2">
      <x:c r="B117" s="45" t="inlineStr">
        <x:is>
          <x:t>H808</x:t>
        </x:is>
      </x:c>
      <x:c r="C117" s="46" t="inlineStr">
        <x:is>
          <x:t>Kwiatkowska, Monika</x:t>
        </x:is>
      </x:c>
      <x:c r="D117" s="45" t="n">
        <x:v>2142</x:v>
      </x:c>
      <x:c r="E117" s="19" t="n">
        <x:v>1061.4375</x:v>
      </x:c>
      <x:c r="F117" s="19" t="n">
        <x:f>MAX(D117-E117, 0)</x:f>
        <x:v>1</x:v>
      </x:c>
      <x:c r="G117" s="47" t="n">
        <x:f>IF(D117=0,0,ABS(E117/D117))</x:f>
        <x:v>0.5</x:v>
      </x:c>
      <x:c r="H117" s="72"/>
      <x:c r="I117" s="73"/>
      <x:c r="J117" s="73"/>
      <x:c r="K117" s="74"/>
      <x:c r="L117" s="19" t="n">
        <x:v>0</x:v>
      </x:c>
      <x:c r="M117" s="73"/>
      <x:c r="N117" s="73"/>
      <x:c r="O117" s="76"/>
    </x:row>
    <x:row r="118" spans="1:19" hidden="1" outlineLevel="2" collapsed="1" x14ac:dyDescent="0.2">
      <x:c r="B118" s="45" t="inlineStr">
        <x:is>
          <x:t>H808</x:t>
        </x:is>
      </x:c>
      <x:c r="C118" s="46" t="inlineStr">
        <x:is>
          <x:t>Liana, Marcin</x:t>
        </x:is>
      </x:c>
      <x:c r="D118" s="45" t="n">
        <x:v>4368</x:v>
      </x:c>
      <x:c r="E118" s="19" t="n">
        <x:v>2983.5</x:v>
      </x:c>
      <x:c r="F118" s="19" t="n">
        <x:f>MAX(D118-E118, 0)</x:f>
        <x:v>1</x:v>
      </x:c>
      <x:c r="G118" s="47" t="n">
        <x:f>IF(D118=0,0,ABS(E118/D118))</x:f>
        <x:v>0.5</x:v>
      </x:c>
      <x:c r="H118" s="72"/>
      <x:c r="I118" s="73"/>
      <x:c r="J118" s="73"/>
      <x:c r="K118" s="74"/>
      <x:c r="L118" s="19" t="n">
        <x:v>7425.6</x:v>
      </x:c>
      <x:c r="M118" s="73"/>
      <x:c r="N118" s="73"/>
      <x:c r="O118" s="76"/>
    </x:row>
    <x:row r="119" spans="1:19" hidden="1" outlineLevel="2" collapsed="1" x14ac:dyDescent="0.2">
      <x:c r="B119" s="45" t="inlineStr">
        <x:is>
          <x:t>H808</x:t>
        </x:is>
      </x:c>
      <x:c r="C119" s="46" t="inlineStr">
        <x:is>
          <x:t>Metrak, Andrzej</x:t>
        </x:is>
      </x:c>
      <x:c r="D119" s="45" t="n">
        <x:v>0</x:v>
      </x:c>
      <x:c r="E119" s="19" t="n">
        <x:v>223.6</x:v>
      </x:c>
      <x:c r="F119" s="19" t="n">
        <x:f>MAX(D119-E119, 0)</x:f>
        <x:v>1</x:v>
      </x:c>
      <x:c r="G119" s="47" t="n">
        <x:f>IF(D119=0,0,ABS(E119/D119))</x:f>
        <x:v>0.5</x:v>
      </x:c>
      <x:c r="H119" s="72"/>
      <x:c r="I119" s="73"/>
      <x:c r="J119" s="73"/>
      <x:c r="K119" s="74"/>
      <x:c r="L119" s="19" t="n">
        <x:v>0</x:v>
      </x:c>
      <x:c r="M119" s="73"/>
      <x:c r="N119" s="73"/>
      <x:c r="O119" s="76"/>
    </x:row>
    <x:row r="120" spans="1:19" hidden="1" outlineLevel="2" collapsed="1" x14ac:dyDescent="0.2">
      <x:c r="B120" s="45" t="inlineStr">
        <x:is>
          <x:t>H808</x:t>
        </x:is>
      </x:c>
      <x:c r="C120" s="46" t="inlineStr">
        <x:is>
          <x:t>Michniewicz, Agnieszka</x:t>
        </x:is>
      </x:c>
      <x:c r="D120" s="45" t="n">
        <x:v>7512.96</x:v>
      </x:c>
      <x:c r="E120" s="19" t="n">
        <x:v>3890.64</x:v>
      </x:c>
      <x:c r="F120" s="19" t="n">
        <x:f>MAX(D120-E120, 0)</x:f>
        <x:v>1</x:v>
      </x:c>
      <x:c r="G120" s="47" t="n">
        <x:f>IF(D120=0,0,ABS(E120/D120))</x:f>
        <x:v>0.5</x:v>
      </x:c>
      <x:c r="H120" s="72"/>
      <x:c r="I120" s="73"/>
      <x:c r="J120" s="73"/>
      <x:c r="K120" s="74"/>
      <x:c r="L120" s="19" t="n">
        <x:v>40426.880</x:v>
      </x:c>
      <x:c r="M120" s="73"/>
      <x:c r="N120" s="73"/>
      <x:c r="O120" s="76"/>
    </x:row>
    <x:row r="121" spans="1:19" hidden="1" outlineLevel="2" collapsed="1" x14ac:dyDescent="0.2">
      <x:c r="B121" s="45" t="inlineStr">
        <x:is>
          <x:t>H808</x:t>
        </x:is>
      </x:c>
      <x:c r="C121" s="46" t="inlineStr">
        <x:is>
          <x:t>Misiek, Andrzej</x:t>
        </x:is>
      </x:c>
      <x:c r="D121" s="45" t="n">
        <x:v>0</x:v>
      </x:c>
      <x:c r="E121" s="19" t="n">
        <x:v>123.25</x:v>
      </x:c>
      <x:c r="F121" s="19" t="n">
        <x:f>MAX(D121-E121, 0)</x:f>
        <x:v>1</x:v>
      </x:c>
      <x:c r="G121" s="47" t="n">
        <x:f>IF(D121=0,0,ABS(E121/D121))</x:f>
        <x:v>0.5</x:v>
      </x:c>
      <x:c r="H121" s="72"/>
      <x:c r="I121" s="73"/>
      <x:c r="J121" s="73"/>
      <x:c r="K121" s="74"/>
      <x:c r="L121" s="19" t="n">
        <x:v>0</x:v>
      </x:c>
      <x:c r="M121" s="73"/>
      <x:c r="N121" s="73"/>
      <x:c r="O121" s="76"/>
    </x:row>
    <x:row r="122" spans="1:19" hidden="1" outlineLevel="2" collapsed="1" x14ac:dyDescent="0.2">
      <x:c r="B122" s="45" t="inlineStr">
        <x:is>
          <x:t>H808</x:t>
        </x:is>
      </x:c>
      <x:c r="C122" s="46" t="inlineStr">
        <x:is>
          <x:t>Popecka, Katarzyna</x:t>
        </x:is>
      </x:c>
      <x:c r="D122" s="45" t="n">
        <x:v>1799.28</x:v>
      </x:c>
      <x:c r="E122" s="19" t="n">
        <x:v>1282.5225</x:v>
      </x:c>
      <x:c r="F122" s="19" t="n">
        <x:f>MAX(D122-E122, 0)</x:f>
        <x:v>1</x:v>
      </x:c>
      <x:c r="G122" s="47" t="n">
        <x:f>IF(D122=0,0,ABS(E122/D122))</x:f>
        <x:v>0.5</x:v>
      </x:c>
      <x:c r="H122" s="72"/>
      <x:c r="I122" s="73"/>
      <x:c r="J122" s="73"/>
      <x:c r="K122" s="74"/>
      <x:c r="L122" s="19" t="n">
        <x:v>0</x:v>
      </x:c>
      <x:c r="M122" s="73"/>
      <x:c r="N122" s="73"/>
      <x:c r="O122" s="76"/>
    </x:row>
    <x:row r="123" spans="1:19" hidden="1" outlineLevel="2" collapsed="1" x14ac:dyDescent="0.2">
      <x:c r="B123" s="45" t="inlineStr">
        <x:is>
          <x:t>H808</x:t>
        </x:is>
      </x:c>
      <x:c r="C123" s="46" t="inlineStr">
        <x:is>
          <x:t>Sitarczyk, Aleksandra</x:t>
        </x:is>
      </x:c>
      <x:c r="D123" s="45" t="n">
        <x:v>2227.68</x:v>
      </x:c>
      <x:c r="E123" s="19" t="n">
        <x:v>1060.80</x:v>
      </x:c>
      <x:c r="F123" s="19" t="n">
        <x:f>MAX(D123-E123, 0)</x:f>
        <x:v>1</x:v>
      </x:c>
      <x:c r="G123" s="47" t="n">
        <x:f>IF(D123=0,0,ABS(E123/D123))</x:f>
        <x:v>0.5</x:v>
      </x:c>
      <x:c r="H123" s="72"/>
      <x:c r="I123" s="73"/>
      <x:c r="J123" s="73"/>
      <x:c r="K123" s="74"/>
      <x:c r="L123" s="19" t="n">
        <x:v>0</x:v>
      </x:c>
      <x:c r="M123" s="73"/>
      <x:c r="N123" s="73"/>
      <x:c r="O123" s="76"/>
    </x:row>
    <x:row r="124" spans="1:19" hidden="1" outlineLevel="2" collapsed="1" x14ac:dyDescent="0.2">
      <x:c r="B124" s="45" t="inlineStr">
        <x:is>
          <x:t>H808</x:t>
        </x:is>
      </x:c>
      <x:c r="C124" s="46" t="inlineStr">
        <x:is>
          <x:t>Suminska, Aleksandra</x:t>
        </x:is>
      </x:c>
      <x:c r="D124" s="45" t="n">
        <x:v>2827.44</x:v>
      </x:c>
      <x:c r="E124" s="19" t="n">
        <x:v>189.3375</x:v>
      </x:c>
      <x:c r="F124" s="19" t="n">
        <x:f>MAX(D124-E124, 0)</x:f>
        <x:v>1</x:v>
      </x:c>
      <x:c r="G124" s="47" t="n">
        <x:f>IF(D124=0,0,ABS(E124/D124))</x:f>
        <x:v>0.5</x:v>
      </x:c>
      <x:c r="H124" s="53"/>
      <x:c r="I124" s="54"/>
      <x:c r="J124" s="54"/>
      <x:c r="K124" s="55"/>
      <x:c r="L124" s="19" t="n">
        <x:v>0</x:v>
      </x:c>
      <x:c r="M124" s="54"/>
      <x:c r="N124" s="54"/>
      <x:c r="O124" s="71"/>
    </x:row>
    <x:row r="125" spans="1:19" outlineLevel="1" x14ac:dyDescent="0.2">
      <x:c r="B125" s="58" t="inlineStr">
        <x:v>49</x:v>
        <x:is>
          <x:t>Total H808</x:t>
        </x:is>
      </x:c>
      <x:c r="C125" s="59"/>
      <x:c r="D125" s="58" t="n">
        <x:v>25761.12</x:v>
      </x:c>
      <x:c r="E125" s="60" t="n">
        <x:v>13140.3475</x:v>
      </x:c>
      <x:c r="F125" s="60" t="n">
        <x:f>MAX(D125-E125, 0)</x:f>
        <x:v>1</x:v>
      </x:c>
      <x:c r="G125" s="61" t="n">
        <x:f>IF(D125=0,0,ABS(E125/D125))</x:f>
        <x:v>0.5</x:v>
      </x:c>
      <x:c r="H125" s="58" t="n">
        <x:v>240898.112</x:v>
      </x:c>
      <x:c r="I125" s="60" t="n">
        <x:v>580290.6471428571471</x:v>
      </x:c>
      <x:c r="J125" s="62" t="n">
        <x:f>IF(H125=0,"No plan at start",I125/H125)</x:f>
        <x:v>2</x:v>
      </x:c>
      <x:c r="K125" s="60" t="n">
        <x:f>MAX(H125-I125, 0)</x:f>
        <x:v>0</x:v>
      </x:c>
      <x:c r="L125" s="60" t="n">
        <x:v>47852.480</x:v>
      </x:c>
      <x:c r="M125" s="60" t="n">
        <x:f>I125+L125</x:f>
        <x:v>3</x:v>
      </x:c>
      <x:c r="N125" s="60" t="n">
        <x:f>M125-H125</x:f>
        <x:v>2</x:v>
      </x:c>
      <x:c r="O125" s="61" t="n">
        <x:f>IF(H125=0,"No plan at start",M125/H125)</x:f>
        <x:v>3</x:v>
      </x:c>
    </x:row>
    <x:row r="126" spans="1:19" hidden="1" outlineLevel="2" collapsed="1" x14ac:dyDescent="0.2">
      <x:c r="B126" s="45" t="inlineStr">
        <x:is>
          <x:t>H919</x:t>
        </x:is>
      </x:c>
      <x:c r="C126" s="46" t="inlineStr">
        <x:is>
          <x:t>Mroczkiewicz, Rafal</x:t>
        </x:is>
      </x:c>
      <x:c r="D126" s="45" t="n">
        <x:v>0</x:v>
      </x:c>
      <x:c r="E126" s="19" t="n">
        <x:v>27.54</x:v>
      </x:c>
      <x:c r="F126" s="19" t="n">
        <x:f>MAX(D126-E126, 0)</x:f>
        <x:v>1</x:v>
      </x:c>
      <x:c r="G126" s="47" t="n">
        <x:f>IF(D126=0,0,ABS(E126/D126))</x:f>
        <x:v>0.5</x:v>
      </x:c>
      <x:c r="H126" s="52"/>
      <x:c r="I126" s="50"/>
      <x:c r="J126" s="50"/>
      <x:c r="K126" s="51"/>
      <x:c r="L126" s="19" t="n">
        <x:v>0</x:v>
      </x:c>
      <x:c r="M126" s="50"/>
      <x:c r="N126" s="50"/>
      <x:c r="O126" s="70"/>
    </x:row>
    <x:row r="127" spans="1:19" outlineLevel="1" x14ac:dyDescent="0.2">
      <x:c r="B127" s="58" t="inlineStr">
        <x:v>49</x:v>
        <x:is>
          <x:t>Total H919</x:t>
        </x:is>
      </x:c>
      <x:c r="C127" s="59"/>
      <x:c r="D127" s="58" t="n">
        <x:v>0</x:v>
      </x:c>
      <x:c r="E127" s="60" t="n">
        <x:v>27.54</x:v>
      </x:c>
      <x:c r="F127" s="60" t="n">
        <x:f>MAX(D127-E127, 0)</x:f>
        <x:v>1</x:v>
      </x:c>
      <x:c r="G127" s="61" t="n">
        <x:f>IF(D127=0,0,ABS(E127/D127))</x:f>
        <x:v>0.5</x:v>
      </x:c>
      <x:c r="H127" s="58" t="n">
        <x:v>0</x:v>
      </x:c>
      <x:c r="I127" s="60" t="n">
        <x:v>3044.540</x:v>
      </x:c>
      <x:c r="J127" s="62" t="n">
        <x:f>IF(H127=0,"No plan at start",I127/H127)</x:f>
        <x:v>2</x:v>
      </x:c>
      <x:c r="K127" s="60" t="n">
        <x:f>MAX(H127-I127, 0)</x:f>
        <x:v>0</x:v>
      </x:c>
      <x:c r="L127" s="60" t="n">
        <x:v>0</x:v>
      </x:c>
      <x:c r="M127" s="60" t="n">
        <x:f>I127+L127</x:f>
        <x:v>3</x:v>
      </x:c>
      <x:c r="N127" s="60" t="n">
        <x:f>M127-H127</x:f>
        <x:v>2</x:v>
      </x:c>
      <x:c r="O127" s="61" t="n">
        <x:f>IF(H127=0,"No plan at start",M127/H127)</x:f>
        <x:v>3</x:v>
      </x:c>
    </x:row>
    <x:row r="128" spans="1:19" hidden="1" outlineLevel="2" collapsed="1" x14ac:dyDescent="0.2">
      <x:c r="B128" s="45" t="inlineStr">
        <x:is>
          <x:t>J500</x:t>
        </x:is>
      </x:c>
      <x:c r="C128" s="46" t="inlineStr">
        <x:is>
          <x:t>Bujakowski, Marcin</x:t>
        </x:is>
      </x:c>
      <x:c r="D128" s="45" t="n">
        <x:v>8195.8344</x:v>
      </x:c>
      <x:c r="E128" s="19" t="n">
        <x:v>4214.86</x:v>
      </x:c>
      <x:c r="F128" s="19" t="n">
        <x:f>MAX(D128-E128, 0)</x:f>
        <x:v>1</x:v>
      </x:c>
      <x:c r="G128" s="47" t="n">
        <x:f>IF(D128=0,0,ABS(E128/D128))</x:f>
        <x:v>0.5</x:v>
      </x:c>
      <x:c r="H128" s="52"/>
      <x:c r="I128" s="50"/>
      <x:c r="J128" s="50"/>
      <x:c r="K128" s="51"/>
      <x:c r="L128" s="19" t="n">
        <x:v>31947.968</x:v>
      </x:c>
      <x:c r="M128" s="50"/>
      <x:c r="N128" s="50"/>
      <x:c r="O128" s="70"/>
    </x:row>
    <x:row r="129" spans="1:19" hidden="1" outlineLevel="2" collapsed="1" x14ac:dyDescent="0.2">
      <x:c r="B129" s="45" t="inlineStr">
        <x:is>
          <x:t>J500</x:t>
        </x:is>
      </x:c>
      <x:c r="C129" s="46" t="inlineStr">
        <x:is>
          <x:t>Gandziarek, Damian</x:t>
        </x:is>
      </x:c>
      <x:c r="D129" s="45" t="n">
        <x:v>2003.6268</x:v>
      </x:c>
      <x:c r="E129" s="19" t="n">
        <x:v>658.665</x:v>
      </x:c>
      <x:c r="F129" s="19" t="n">
        <x:f>MAX(D129-E129, 0)</x:f>
        <x:v>1</x:v>
      </x:c>
      <x:c r="G129" s="47" t="n">
        <x:f>IF(D129=0,0,ABS(E129/D129))</x:f>
        <x:v>0.5</x:v>
      </x:c>
      <x:c r="H129" s="72"/>
      <x:c r="I129" s="73"/>
      <x:c r="J129" s="73"/>
      <x:c r="K129" s="74"/>
      <x:c r="L129" s="19" t="n">
        <x:v>8814.6513</x:v>
      </x:c>
      <x:c r="M129" s="73"/>
      <x:c r="N129" s="73"/>
      <x:c r="O129" s="76"/>
    </x:row>
    <x:row r="130" spans="1:19" hidden="1" outlineLevel="2" collapsed="1" x14ac:dyDescent="0.2">
      <x:c r="B130" s="45" t="inlineStr">
        <x:is>
          <x:t>J500</x:t>
        </x:is>
      </x:c>
      <x:c r="C130" s="46" t="inlineStr">
        <x:is>
          <x:t>Marszalek, Mateusz</x:t>
        </x:is>
      </x:c>
      <x:c r="D130" s="45" t="n">
        <x:v>1884.96</x:v>
      </x:c>
      <x:c r="E130" s="19" t="n">
        <x:v>970.53</x:v>
      </x:c>
      <x:c r="F130" s="19" t="n">
        <x:f>MAX(D130-E130, 0)</x:f>
        <x:v>1</x:v>
      </x:c>
      <x:c r="G130" s="47" t="n">
        <x:f>IF(D130=0,0,ABS(E130/D130))</x:f>
        <x:v>0.5</x:v>
      </x:c>
      <x:c r="H130" s="72"/>
      <x:c r="I130" s="73"/>
      <x:c r="J130" s="73"/>
      <x:c r="K130" s="74"/>
      <x:c r="L130" s="19" t="n">
        <x:v>8908.680</x:v>
      </x:c>
      <x:c r="M130" s="73"/>
      <x:c r="N130" s="73"/>
      <x:c r="O130" s="76"/>
    </x:row>
    <x:row r="131" spans="1:19" hidden="1" outlineLevel="2" collapsed="1" x14ac:dyDescent="0.2">
      <x:c r="B131" s="45" t="inlineStr">
        <x:is>
          <x:t>J500</x:t>
        </x:is>
      </x:c>
      <x:c r="C131" s="46" t="inlineStr">
        <x:is>
          <x:t>Misiek, Andrzej</x:t>
        </x:is>
      </x:c>
      <x:c r="D131" s="45" t="n">
        <x:v>4141.2</x:v>
      </x:c>
      <x:c r="E131" s="19" t="n">
        <x:v>1953.5125</x:v>
      </x:c>
      <x:c r="F131" s="19" t="n">
        <x:f>MAX(D131-E131, 0)</x:f>
        <x:v>1</x:v>
      </x:c>
      <x:c r="G131" s="47" t="n">
        <x:f>IF(D131=0,0,ABS(E131/D131))</x:f>
        <x:v>0.5</x:v>
      </x:c>
      <x:c r="H131" s="72"/>
      <x:c r="I131" s="73"/>
      <x:c r="J131" s="73"/>
      <x:c r="K131" s="74"/>
      <x:c r="L131" s="19" t="n">
        <x:v>16347.88</x:v>
      </x:c>
      <x:c r="M131" s="73"/>
      <x:c r="N131" s="73"/>
      <x:c r="O131" s="76"/>
    </x:row>
    <x:row r="132" spans="1:19" hidden="1" outlineLevel="2" collapsed="1" x14ac:dyDescent="0.2">
      <x:c r="B132" s="45" t="inlineStr">
        <x:is>
          <x:t>J500</x:t>
        </x:is>
      </x:c>
      <x:c r="C132" s="46" t="inlineStr">
        <x:is>
          <x:t>Mroczkiewicz, Rafal</x:t>
        </x:is>
      </x:c>
      <x:c r="D132" s="45" t="n">
        <x:v>0</x:v>
      </x:c>
      <x:c r="E132" s="19" t="n">
        <x:v>509.490</x:v>
      </x:c>
      <x:c r="F132" s="19" t="n">
        <x:f>MAX(D132-E132, 0)</x:f>
        <x:v>1</x:v>
      </x:c>
      <x:c r="G132" s="47" t="n">
        <x:f>IF(D132=0,0,ABS(E132/D132))</x:f>
        <x:v>0.5</x:v>
      </x:c>
      <x:c r="H132" s="72"/>
      <x:c r="I132" s="73"/>
      <x:c r="J132" s="73"/>
      <x:c r="K132" s="74"/>
      <x:c r="L132" s="19" t="n">
        <x:v>1722.168</x:v>
      </x:c>
      <x:c r="M132" s="73"/>
      <x:c r="N132" s="73"/>
      <x:c r="O132" s="76"/>
    </x:row>
    <x:row r="133" spans="1:19" hidden="1" outlineLevel="2" collapsed="1" x14ac:dyDescent="0.2">
      <x:c r="B133" s="45" t="inlineStr">
        <x:is>
          <x:t>J500</x:t>
        </x:is>
      </x:c>
      <x:c r="C133" s="46" t="inlineStr">
        <x:is>
          <x:t>Romaniak, Damian</x:t>
        </x:is>
      </x:c>
      <x:c r="D133" s="45" t="n">
        <x:v>1805.0634</x:v>
      </x:c>
      <x:c r="E133" s="19" t="n">
        <x:v>1016.685</x:v>
      </x:c>
      <x:c r="F133" s="19" t="n">
        <x:f>MAX(D133-E133, 0)</x:f>
        <x:v>1</x:v>
      </x:c>
      <x:c r="G133" s="47" t="n">
        <x:f>IF(D133=0,0,ABS(E133/D133))</x:f>
        <x:v>0.5</x:v>
      </x:c>
      <x:c r="H133" s="72"/>
      <x:c r="I133" s="73"/>
      <x:c r="J133" s="73"/>
      <x:c r="K133" s="74"/>
      <x:c r="L133" s="19" t="n">
        <x:v>7527.60</x:v>
      </x:c>
      <x:c r="M133" s="73"/>
      <x:c r="N133" s="73"/>
      <x:c r="O133" s="76"/>
    </x:row>
    <x:row r="134" spans="1:19" hidden="1" outlineLevel="2" collapsed="1" x14ac:dyDescent="0.2">
      <x:c r="B134" s="45" t="inlineStr">
        <x:is>
          <x:t>J500</x:t>
        </x:is>
      </x:c>
      <x:c r="C134" s="46" t="inlineStr">
        <x:is>
          <x:t>Sysik, Pawel</x:t>
        </x:is>
      </x:c>
      <x:c r="D134" s="45" t="n">
        <x:v>5763.0664</x:v>
      </x:c>
      <x:c r="E134" s="19" t="n">
        <x:v>2996.24</x:v>
      </x:c>
      <x:c r="F134" s="19" t="n">
        <x:f>MAX(D134-E134, 0)</x:f>
        <x:v>1</x:v>
      </x:c>
      <x:c r="G134" s="47" t="n">
        <x:f>IF(D134=0,0,ABS(E134/D134))</x:f>
        <x:v>0.5</x:v>
      </x:c>
      <x:c r="H134" s="72"/>
      <x:c r="I134" s="73"/>
      <x:c r="J134" s="73"/>
      <x:c r="K134" s="74"/>
      <x:c r="L134" s="19" t="n">
        <x:v>24041.472</x:v>
      </x:c>
      <x:c r="M134" s="73"/>
      <x:c r="N134" s="73"/>
      <x:c r="O134" s="76"/>
    </x:row>
    <x:row r="135" spans="1:19" hidden="1" outlineLevel="2" collapsed="1" x14ac:dyDescent="0.2">
      <x:c r="B135" s="45" t="inlineStr">
        <x:is>
          <x:t>J500</x:t>
        </x:is>
      </x:c>
      <x:c r="C135" s="46" t="inlineStr">
        <x:is>
          <x:t>Tyminska, Magdalena</x:t>
        </x:is>
      </x:c>
      <x:c r="D135" s="45" t="n">
        <x:v>873.6</x:v>
      </x:c>
      <x:c r="E135" s="19" t="n">
        <x:v>2249.0</x:v>
      </x:c>
      <x:c r="F135" s="19" t="n">
        <x:f>MAX(D135-E135, 0)</x:f>
        <x:v>1</x:v>
      </x:c>
      <x:c r="G135" s="47" t="n">
        <x:f>IF(D135=0,0,ABS(E135/D135))</x:f>
        <x:v>0.5</x:v>
      </x:c>
      <x:c r="H135" s="53"/>
      <x:c r="I135" s="54"/>
      <x:c r="J135" s="54"/>
      <x:c r="K135" s="55"/>
      <x:c r="L135" s="19" t="n">
        <x:v>5657.6</x:v>
      </x:c>
      <x:c r="M135" s="54"/>
      <x:c r="N135" s="54"/>
      <x:c r="O135" s="71"/>
    </x:row>
    <x:row r="136" spans="1:19" outlineLevel="1" x14ac:dyDescent="0.2">
      <x:c r="B136" s="58" t="inlineStr">
        <x:v>49</x:v>
        <x:is>
          <x:t>Total J500</x:t>
        </x:is>
      </x:c>
      <x:c r="C136" s="59"/>
      <x:c r="D136" s="58" t="n">
        <x:v>24667.3510</x:v>
      </x:c>
      <x:c r="E136" s="60" t="n">
        <x:v>14568.9825</x:v>
      </x:c>
      <x:c r="F136" s="60" t="n">
        <x:f>MAX(D136-E136, 0)</x:f>
        <x:v>1</x:v>
      </x:c>
      <x:c r="G136" s="61" t="n">
        <x:f>IF(D136=0,0,ABS(E136/D136))</x:f>
        <x:v>0.5</x:v>
      </x:c>
      <x:c r="H136" s="58" t="n">
        <x:v>234625.032</x:v>
      </x:c>
      <x:c r="I136" s="60" t="n">
        <x:v>192928.2425</x:v>
      </x:c>
      <x:c r="J136" s="62" t="n">
        <x:f>IF(H136=0,"No plan at start",I136/H136)</x:f>
        <x:v>2</x:v>
      </x:c>
      <x:c r="K136" s="60" t="n">
        <x:f>MAX(H136-I136, 0)</x:f>
        <x:v>0</x:v>
      </x:c>
      <x:c r="L136" s="60" t="n">
        <x:v>104968.0193</x:v>
      </x:c>
      <x:c r="M136" s="60" t="n">
        <x:f>I136+L136</x:f>
        <x:v>3</x:v>
      </x:c>
      <x:c r="N136" s="60" t="n">
        <x:f>M136-H136</x:f>
        <x:v>2</x:v>
      </x:c>
      <x:c r="O136" s="61" t="n">
        <x:f>IF(H136=0,"No plan at start",M136/H136)</x:f>
        <x:v>3</x:v>
      </x:c>
    </x:row>
    <x:row r="137" spans="1:19" hidden="1" outlineLevel="2" collapsed="1" x14ac:dyDescent="0.2">
      <x:c r="B137" s="45" t="inlineStr">
        <x:is>
          <x:t>K358</x:t>
        </x:is>
      </x:c>
      <x:c r="C137" s="46" t="inlineStr">
        <x:is>
          <x:t>Kosiela, Jakub</x:t>
        </x:is>
      </x:c>
      <x:c r="D137" s="45" t="n">
        <x:v>0</x:v>
      </x:c>
      <x:c r="E137" s="19" t="n">
        <x:v>1040</x:v>
      </x:c>
      <x:c r="F137" s="19" t="n">
        <x:f>MAX(D137-E137, 0)</x:f>
        <x:v>1</x:v>
      </x:c>
      <x:c r="G137" s="47" t="n">
        <x:f>IF(D137=0,0,ABS(E137/D137))</x:f>
        <x:v>0.5</x:v>
      </x:c>
      <x:c r="H137" s="52"/>
      <x:c r="I137" s="50"/>
      <x:c r="J137" s="50"/>
      <x:c r="K137" s="51"/>
      <x:c r="L137" s="19" t="n">
        <x:v>0</x:v>
      </x:c>
      <x:c r="M137" s="50"/>
      <x:c r="N137" s="50"/>
      <x:c r="O137" s="70"/>
    </x:row>
    <x:row r="138" spans="1:19" hidden="1" outlineLevel="2" collapsed="1" x14ac:dyDescent="0.2">
      <x:c r="B138" s="45" t="inlineStr">
        <x:is>
          <x:t>K358</x:t>
        </x:is>
      </x:c>
      <x:c r="C138" s="46" t="inlineStr">
        <x:is>
          <x:t>Wierzbicki, Jaroslaw</x:t>
        </x:is>
      </x:c>
      <x:c r="D138" s="45" t="n">
        <x:v>0</x:v>
      </x:c>
      <x:c r="E138" s="19" t="n">
        <x:v>156.52</x:v>
      </x:c>
      <x:c r="F138" s="19" t="n">
        <x:f>MAX(D138-E138, 0)</x:f>
        <x:v>1</x:v>
      </x:c>
      <x:c r="G138" s="47" t="n">
        <x:f>IF(D138=0,0,ABS(E138/D138))</x:f>
        <x:v>0.5</x:v>
      </x:c>
      <x:c r="H138" s="53"/>
      <x:c r="I138" s="54"/>
      <x:c r="J138" s="54"/>
      <x:c r="K138" s="55"/>
      <x:c r="L138" s="19" t="n">
        <x:v>0</x:v>
      </x:c>
      <x:c r="M138" s="54"/>
      <x:c r="N138" s="54"/>
      <x:c r="O138" s="71"/>
    </x:row>
    <x:row r="139" spans="1:19" outlineLevel="1" x14ac:dyDescent="0.2">
      <x:c r="B139" s="58" t="inlineStr">
        <x:v>49</x:v>
        <x:is>
          <x:t>Total K358</x:t>
        </x:is>
      </x:c>
      <x:c r="C139" s="59"/>
      <x:c r="D139" s="58" t="n">
        <x:v>0</x:v>
      </x:c>
      <x:c r="E139" s="60" t="n">
        <x:v>1196.52</x:v>
      </x:c>
      <x:c r="F139" s="60" t="n">
        <x:f>MAX(D139-E139, 0)</x:f>
        <x:v>1</x:v>
      </x:c>
      <x:c r="G139" s="61" t="n">
        <x:f>IF(D139=0,0,ABS(E139/D139))</x:f>
        <x:v>0.5</x:v>
      </x:c>
      <x:c r="H139" s="58" t="n">
        <x:v>0</x:v>
      </x:c>
      <x:c r="I139" s="60" t="n">
        <x:v>9104.2850</x:v>
      </x:c>
      <x:c r="J139" s="62" t="n">
        <x:f>IF(H139=0,"No plan at start",I139/H139)</x:f>
        <x:v>2</x:v>
      </x:c>
      <x:c r="K139" s="60" t="n">
        <x:f>MAX(H139-I139, 0)</x:f>
        <x:v>0</x:v>
      </x:c>
      <x:c r="L139" s="60" t="n">
        <x:v>0</x:v>
      </x:c>
      <x:c r="M139" s="60" t="n">
        <x:f>I139+L139</x:f>
        <x:v>3</x:v>
      </x:c>
      <x:c r="N139" s="60" t="n">
        <x:f>M139-H139</x:f>
        <x:v>2</x:v>
      </x:c>
      <x:c r="O139" s="61" t="n">
        <x:f>IF(H139=0,"No plan at start",M139/H139)</x:f>
        <x:v>3</x:v>
      </x:c>
    </x:row>
    <x:row r="140" spans="1:19" hidden="1" outlineLevel="2" collapsed="1" x14ac:dyDescent="0.2">
      <x:c r="B140" s="45" t="inlineStr">
        <x:is>
          <x:t>K504</x:t>
        </x:is>
      </x:c>
      <x:c r="C140" s="46" t="inlineStr">
        <x:is>
          <x:t>Kowalski, Stefan</x:t>
        </x:is>
      </x:c>
      <x:c r="D140" s="45" t="n">
        <x:v>0</x:v>
      </x:c>
      <x:c r="E140" s="19" t="n">
        <x:v>495.72</x:v>
      </x:c>
      <x:c r="F140" s="19" t="n">
        <x:f>MAX(D140-E140, 0)</x:f>
        <x:v>1</x:v>
      </x:c>
      <x:c r="G140" s="47" t="n">
        <x:f>IF(D140=0,0,ABS(E140/D140))</x:f>
        <x:v>0.5</x:v>
      </x:c>
      <x:c r="H140" s="52"/>
      <x:c r="I140" s="50"/>
      <x:c r="J140" s="50"/>
      <x:c r="K140" s="51"/>
      <x:c r="L140" s="19" t="n">
        <x:v>0</x:v>
      </x:c>
      <x:c r="M140" s="50"/>
      <x:c r="N140" s="50"/>
      <x:c r="O140" s="70"/>
    </x:row>
    <x:row r="141" spans="1:19" hidden="1" outlineLevel="2" collapsed="1" x14ac:dyDescent="0.2">
      <x:c r="B141" s="45" t="inlineStr">
        <x:is>
          <x:t>K504</x:t>
        </x:is>
      </x:c>
      <x:c r="C141" s="46" t="inlineStr">
        <x:is>
          <x:t>Swiderski, Michal</x:t>
        </x:is>
      </x:c>
      <x:c r="D141" s="45" t="n">
        <x:v>0</x:v>
      </x:c>
      <x:c r="E141" s="19" t="n">
        <x:v>521.130952380952</x:v>
      </x:c>
      <x:c r="F141" s="19" t="n">
        <x:f>MAX(D141-E141, 0)</x:f>
        <x:v>1</x:v>
      </x:c>
      <x:c r="G141" s="47" t="n">
        <x:f>IF(D141=0,0,ABS(E141/D141))</x:f>
        <x:v>0.5</x:v>
      </x:c>
      <x:c r="H141" s="72"/>
      <x:c r="I141" s="73"/>
      <x:c r="J141" s="73"/>
      <x:c r="K141" s="74"/>
      <x:c r="L141" s="19" t="n">
        <x:v>0</x:v>
      </x:c>
      <x:c r="M141" s="73"/>
      <x:c r="N141" s="73"/>
      <x:c r="O141" s="76"/>
    </x:row>
    <x:row r="142" spans="1:19" hidden="1" outlineLevel="2" collapsed="1" x14ac:dyDescent="0.2">
      <x:c r="B142" s="45" t="inlineStr">
        <x:is>
          <x:t>K504</x:t>
        </x:is>
      </x:c>
      <x:c r="C142" s="46" t="inlineStr">
        <x:is>
          <x:t>Szydlik, Mariusz</x:t>
        </x:is>
      </x:c>
      <x:c r="D142" s="45" t="n">
        <x:v>0</x:v>
      </x:c>
      <x:c r="E142" s="19" t="n">
        <x:v>1833.52</x:v>
      </x:c>
      <x:c r="F142" s="19" t="n">
        <x:f>MAX(D142-E142, 0)</x:f>
        <x:v>1</x:v>
      </x:c>
      <x:c r="G142" s="47" t="n">
        <x:f>IF(D142=0,0,ABS(E142/D142))</x:f>
        <x:v>0.5</x:v>
      </x:c>
      <x:c r="H142" s="53"/>
      <x:c r="I142" s="54"/>
      <x:c r="J142" s="54"/>
      <x:c r="K142" s="55"/>
      <x:c r="L142" s="19" t="n">
        <x:v>0</x:v>
      </x:c>
      <x:c r="M142" s="54"/>
      <x:c r="N142" s="54"/>
      <x:c r="O142" s="71"/>
    </x:row>
    <x:row r="143" spans="1:19" outlineLevel="1" x14ac:dyDescent="0.2">
      <x:c r="B143" s="58" t="inlineStr">
        <x:v>49</x:v>
        <x:is>
          <x:t>Total K504</x:t>
        </x:is>
      </x:c>
      <x:c r="C143" s="59"/>
      <x:c r="D143" s="58" t="n">
        <x:v>0</x:v>
      </x:c>
      <x:c r="E143" s="60" t="n">
        <x:v>2850.370952380952</x:v>
      </x:c>
      <x:c r="F143" s="60" t="n">
        <x:f>MAX(D143-E143, 0)</x:f>
        <x:v>1</x:v>
      </x:c>
      <x:c r="G143" s="61" t="n">
        <x:f>IF(D143=0,0,ABS(E143/D143))</x:f>
        <x:v>0.5</x:v>
      </x:c>
      <x:c r="H143" s="58" t="n">
        <x:v>74557.184</x:v>
      </x:c>
      <x:c r="I143" s="60" t="n">
        <x:v>49599.2759523809531</x:v>
      </x:c>
      <x:c r="J143" s="62" t="n">
        <x:f>IF(H143=0,"No plan at start",I143/H143)</x:f>
        <x:v>2</x:v>
      </x:c>
      <x:c r="K143" s="60" t="n">
        <x:f>MAX(H143-I143, 0)</x:f>
        <x:v>0</x:v>
      </x:c>
      <x:c r="L143" s="60" t="n">
        <x:v>0</x:v>
      </x:c>
      <x:c r="M143" s="60" t="n">
        <x:f>I143+L143</x:f>
        <x:v>3</x:v>
      </x:c>
      <x:c r="N143" s="60" t="n">
        <x:f>M143-H143</x:f>
        <x:v>2</x:v>
      </x:c>
      <x:c r="O143" s="61" t="n">
        <x:f>IF(H143=0,"No plan at start",M143/H143)</x:f>
        <x:v>3</x:v>
      </x:c>
    </x:row>
    <x:row r="144" spans="1:19" hidden="1" outlineLevel="2" collapsed="1" x14ac:dyDescent="0.2">
      <x:c r="B144" s="45" t="inlineStr">
        <x:is>
          <x:t>N386</x:t>
        </x:is>
      </x:c>
      <x:c r="C144" s="46" t="inlineStr">
        <x:is>
          <x:t>Romaniak, Damian</x:t>
        </x:is>
      </x:c>
      <x:c r="D144" s="45" t="n">
        <x:v>279.072</x:v>
      </x:c>
      <x:c r="E144" s="19" t="n">
        <x:v>0</x:v>
      </x:c>
      <x:c r="F144" s="19" t="n">
        <x:f>MAX(D144-E144, 0)</x:f>
        <x:v>1</x:v>
      </x:c>
      <x:c r="G144" s="47" t="n">
        <x:f>IF(D144=0,0,ABS(E144/D144))</x:f>
        <x:v>0.5</x:v>
      </x:c>
      <x:c r="H144" s="52"/>
      <x:c r="I144" s="50"/>
      <x:c r="J144" s="50"/>
      <x:c r="K144" s="51"/>
      <x:c r="L144" s="19" t="n">
        <x:v>1138.320</x:v>
      </x:c>
      <x:c r="M144" s="50"/>
      <x:c r="N144" s="50"/>
      <x:c r="O144" s="70"/>
    </x:row>
    <x:row r="145" spans="1:19" hidden="1" outlineLevel="2" collapsed="1" x14ac:dyDescent="0.2">
      <x:c r="B145" s="45" t="inlineStr">
        <x:is>
          <x:t>N386</x:t>
        </x:is>
      </x:c>
      <x:c r="C145" s="46" t="inlineStr">
        <x:is>
          <x:t>Sysik, Pawel</x:t>
        </x:is>
      </x:c>
      <x:c r="D145" s="45" t="n">
        <x:v>1990.04</x:v>
      </x:c>
      <x:c r="E145" s="19" t="n">
        <x:v>0</x:v>
      </x:c>
      <x:c r="F145" s="19" t="n">
        <x:f>MAX(D145-E145, 0)</x:f>
        <x:v>1</x:v>
      </x:c>
      <x:c r="G145" s="47" t="n">
        <x:f>IF(D145=0,0,ABS(E145/D145))</x:f>
        <x:v>0.5</x:v>
      </x:c>
      <x:c r="H145" s="53"/>
      <x:c r="I145" s="54"/>
      <x:c r="J145" s="54"/>
      <x:c r="K145" s="55"/>
      <x:c r="L145" s="19" t="n">
        <x:v>3698.344</x:v>
      </x:c>
      <x:c r="M145" s="54"/>
      <x:c r="N145" s="54"/>
      <x:c r="O145" s="71"/>
    </x:row>
    <x:row r="146" spans="1:19" outlineLevel="1" x14ac:dyDescent="0.2">
      <x:c r="B146" s="58" t="inlineStr">
        <x:v>49</x:v>
        <x:is>
          <x:t>Total N386</x:t>
        </x:is>
      </x:c>
      <x:c r="C146" s="59"/>
      <x:c r="D146" s="58" t="n">
        <x:v>2269.112</x:v>
      </x:c>
      <x:c r="E146" s="60" t="n">
        <x:v>0</x:v>
      </x:c>
      <x:c r="F146" s="60" t="n">
        <x:f>MAX(D146-E146, 0)</x:f>
        <x:v>1</x:v>
      </x:c>
      <x:c r="G146" s="61" t="n">
        <x:f>IF(D146=0,0,ABS(E146/D146))</x:f>
        <x:v>0.5</x:v>
      </x:c>
      <x:c r="H146" s="58" t="n">
        <x:v>5107.78</x:v>
      </x:c>
      <x:c r="I146" s="60" t="n">
        <x:v>0</x:v>
      </x:c>
      <x:c r="J146" s="62" t="n">
        <x:f>IF(H146=0,"No plan at start",I146/H146)</x:f>
        <x:v>2</x:v>
      </x:c>
      <x:c r="K146" s="60" t="n">
        <x:f>MAX(H146-I146, 0)</x:f>
        <x:v>0</x:v>
      </x:c>
      <x:c r="L146" s="60" t="n">
        <x:v>4836.664</x:v>
      </x:c>
      <x:c r="M146" s="60" t="n">
        <x:f>I146+L146</x:f>
        <x:v>3</x:v>
      </x:c>
      <x:c r="N146" s="60" t="n">
        <x:f>M146-H146</x:f>
        <x:v>2</x:v>
      </x:c>
      <x:c r="O146" s="61" t="n">
        <x:f>IF(H146=0,"No plan at start",M146/H146)</x:f>
        <x:v>3</x:v>
      </x:c>
    </x:row>
    <x:row r="147" spans="1:19" hidden="1" outlineLevel="2" collapsed="1" x14ac:dyDescent="0.2">
      <x:c r="B147" s="45" t="inlineStr">
        <x:is>
          <x:t>N485</x:t>
        </x:is>
      </x:c>
      <x:c r="C147" s="46" t="inlineStr">
        <x:is>
          <x:t>Mroczkiewicz, Rafal</x:t>
        </x:is>
      </x:c>
      <x:c r="D147" s="45" t="n">
        <x:v>0</x:v>
      </x:c>
      <x:c r="E147" s="19" t="n">
        <x:v>2.295</x:v>
      </x:c>
      <x:c r="F147" s="19" t="n">
        <x:f>MAX(D147-E147, 0)</x:f>
        <x:v>1</x:v>
      </x:c>
      <x:c r="G147" s="47" t="n">
        <x:f>IF(D147=0,0,ABS(E147/D147))</x:f>
        <x:v>0.5</x:v>
      </x:c>
      <x:c r="H147" s="52"/>
      <x:c r="I147" s="50"/>
      <x:c r="J147" s="50"/>
      <x:c r="K147" s="51"/>
      <x:c r="L147" s="19" t="n">
        <x:v>0</x:v>
      </x:c>
      <x:c r="M147" s="50"/>
      <x:c r="N147" s="50"/>
      <x:c r="O147" s="70"/>
    </x:row>
    <x:row r="148" spans="1:19" outlineLevel="1" x14ac:dyDescent="0.2">
      <x:c r="B148" s="58" t="inlineStr">
        <x:v>49</x:v>
        <x:is>
          <x:t>Total N485</x:t>
        </x:is>
      </x:c>
      <x:c r="C148" s="59"/>
      <x:c r="D148" s="58" t="n">
        <x:v>0</x:v>
      </x:c>
      <x:c r="E148" s="60" t="n">
        <x:v>2.295</x:v>
      </x:c>
      <x:c r="F148" s="60" t="n">
        <x:f>MAX(D148-E148, 0)</x:f>
        <x:v>1</x:v>
      </x:c>
      <x:c r="G148" s="61" t="n">
        <x:f>IF(D148=0,0,ABS(E148/D148))</x:f>
        <x:v>0.5</x:v>
      </x:c>
      <x:c r="H148" s="58" t="n">
        <x:v>0</x:v>
      </x:c>
      <x:c r="I148" s="60" t="n">
        <x:v>9963.475</x:v>
      </x:c>
      <x:c r="J148" s="62" t="n">
        <x:f>IF(H148=0,"No plan at start",I148/H148)</x:f>
        <x:v>2</x:v>
      </x:c>
      <x:c r="K148" s="60" t="n">
        <x:f>MAX(H148-I148, 0)</x:f>
        <x:v>0</x:v>
      </x:c>
      <x:c r="L148" s="60" t="n">
        <x:v>0</x:v>
      </x:c>
      <x:c r="M148" s="60" t="n">
        <x:f>I148+L148</x:f>
        <x:v>3</x:v>
      </x:c>
      <x:c r="N148" s="60" t="n">
        <x:f>M148-H148</x:f>
        <x:v>2</x:v>
      </x:c>
      <x:c r="O148" s="61" t="n">
        <x:f>IF(H148=0,"No plan at start",M148/H148)</x:f>
        <x:v>3</x:v>
      </x:c>
    </x:row>
    <x:row r="149" spans="1:19" hidden="1" outlineLevel="2" collapsed="1" x14ac:dyDescent="0.2">
      <x:c r="B149" s="45" t="inlineStr">
        <x:is>
          <x:t>N694</x:t>
        </x:is>
      </x:c>
      <x:c r="C149" s="46" t="inlineStr">
        <x:is>
          <x:t>Metrak, Andrzej</x:t>
        </x:is>
      </x:c>
      <x:c r="D149" s="45" t="n">
        <x:v>1361.724</x:v>
      </x:c>
      <x:c r="E149" s="19" t="n">
        <x:v>0</x:v>
      </x:c>
      <x:c r="F149" s="19" t="n">
        <x:f>MAX(D149-E149, 0)</x:f>
        <x:v>1</x:v>
      </x:c>
      <x:c r="G149" s="47" t="n">
        <x:f>IF(D149=0,0,ABS(E149/D149))</x:f>
        <x:v>0.5</x:v>
      </x:c>
      <x:c r="H149" s="52"/>
      <x:c r="I149" s="50"/>
      <x:c r="J149" s="50"/>
      <x:c r="K149" s="51"/>
      <x:c r="L149" s="19" t="n">
        <x:v>14283.1208</x:v>
      </x:c>
      <x:c r="M149" s="50"/>
      <x:c r="N149" s="50"/>
      <x:c r="O149" s="70"/>
    </x:row>
    <x:row r="150" spans="1:19" hidden="1" outlineLevel="2" collapsed="1" x14ac:dyDescent="0.2">
      <x:c r="B150" s="45" t="inlineStr">
        <x:is>
          <x:t>N694</x:t>
        </x:is>
      </x:c>
      <x:c r="C150" s="46" t="inlineStr">
        <x:is>
          <x:t>Sysik, Pawel</x:t>
        </x:is>
      </x:c>
      <x:c r="D150" s="45" t="n">
        <x:v>1195.3656</x:v>
      </x:c>
      <x:c r="E150" s="19" t="n">
        <x:v>0</x:v>
      </x:c>
      <x:c r="F150" s="19" t="n">
        <x:f>MAX(D150-E150, 0)</x:f>
        <x:v>1</x:v>
      </x:c>
      <x:c r="G150" s="47" t="n">
        <x:f>IF(D150=0,0,ABS(E150/D150))</x:f>
        <x:v>0.5</x:v>
      </x:c>
      <x:c r="H150" s="53"/>
      <x:c r="I150" s="54"/>
      <x:c r="J150" s="54"/>
      <x:c r="K150" s="55"/>
      <x:c r="L150" s="19" t="n">
        <x:v>11528.3688</x:v>
      </x:c>
      <x:c r="M150" s="54"/>
      <x:c r="N150" s="54"/>
      <x:c r="O150" s="71"/>
    </x:row>
    <x:row r="151" spans="1:19" outlineLevel="1" x14ac:dyDescent="0.2">
      <x:c r="B151" s="58" t="inlineStr">
        <x:v>49</x:v>
        <x:is>
          <x:t>Total N694</x:t>
        </x:is>
      </x:c>
      <x:c r="C151" s="59"/>
      <x:c r="D151" s="58" t="n">
        <x:v>2557.0896</x:v>
      </x:c>
      <x:c r="E151" s="60" t="n">
        <x:v>0</x:v>
      </x:c>
      <x:c r="F151" s="60" t="n">
        <x:f>MAX(D151-E151, 0)</x:f>
        <x:v>1</x:v>
      </x:c>
      <x:c r="G151" s="61" t="n">
        <x:f>IF(D151=0,0,ABS(E151/D151))</x:f>
        <x:v>0.5</x:v>
      </x:c>
      <x:c r="H151" s="58" t="n">
        <x:v>28664.6256</x:v>
      </x:c>
      <x:c r="I151" s="60" t="n">
        <x:v>178.88</x:v>
      </x:c>
      <x:c r="J151" s="62" t="n">
        <x:f>IF(H151=0,"No plan at start",I151/H151)</x:f>
        <x:v>2</x:v>
      </x:c>
      <x:c r="K151" s="60" t="n">
        <x:f>MAX(H151-I151, 0)</x:f>
        <x:v>0</x:v>
      </x:c>
      <x:c r="L151" s="60" t="n">
        <x:v>25811.4896</x:v>
      </x:c>
      <x:c r="M151" s="60" t="n">
        <x:f>I151+L151</x:f>
        <x:v>3</x:v>
      </x:c>
      <x:c r="N151" s="60" t="n">
        <x:f>M151-H151</x:f>
        <x:v>2</x:v>
      </x:c>
      <x:c r="O151" s="61" t="n">
        <x:f>IF(H151=0,"No plan at start",M151/H151)</x:f>
        <x:v>3</x:v>
      </x:c>
    </x:row>
    <x:row r="152" spans="1:19" hidden="1" outlineLevel="2" collapsed="1" x14ac:dyDescent="0.2">
      <x:c r="B152" s="45" t="inlineStr">
        <x:is>
          <x:t>N706</x:t>
        </x:is>
      </x:c>
      <x:c r="C152" s="46" t="inlineStr">
        <x:is>
          <x:t>Wierzbicki, Jaroslaw</x:t>
        </x:is>
      </x:c>
      <x:c r="D152" s="45" t="n">
        <x:v>0</x:v>
      </x:c>
      <x:c r="E152" s="19" t="n">
        <x:v>67.08</x:v>
      </x:c>
      <x:c r="F152" s="19" t="n">
        <x:f>MAX(D152-E152, 0)</x:f>
        <x:v>1</x:v>
      </x:c>
      <x:c r="G152" s="47" t="n">
        <x:f>IF(D152=0,0,ABS(E152/D152))</x:f>
        <x:v>0.5</x:v>
      </x:c>
      <x:c r="H152" s="52"/>
      <x:c r="I152" s="50"/>
      <x:c r="J152" s="50"/>
      <x:c r="K152" s="51"/>
      <x:c r="L152" s="19" t="n">
        <x:v>0</x:v>
      </x:c>
      <x:c r="M152" s="50"/>
      <x:c r="N152" s="50"/>
      <x:c r="O152" s="70"/>
    </x:row>
    <x:row r="153" spans="1:19" outlineLevel="1" x14ac:dyDescent="0.2">
      <x:c r="B153" s="58" t="inlineStr">
        <x:v>49</x:v>
        <x:is>
          <x:t>Total N706</x:t>
        </x:is>
      </x:c>
      <x:c r="C153" s="59"/>
      <x:c r="D153" s="58" t="n">
        <x:v>0</x:v>
      </x:c>
      <x:c r="E153" s="60" t="n">
        <x:v>67.08</x:v>
      </x:c>
      <x:c r="F153" s="60" t="n">
        <x:f>MAX(D153-E153, 0)</x:f>
        <x:v>1</x:v>
      </x:c>
      <x:c r="G153" s="61" t="n">
        <x:f>IF(D153=0,0,ABS(E153/D153))</x:f>
        <x:v>0.5</x:v>
      </x:c>
      <x:c r="H153" s="58" t="n">
        <x:v>10518.144</x:v>
      </x:c>
      <x:c r="I153" s="60" t="n">
        <x:v>178.88</x:v>
      </x:c>
      <x:c r="J153" s="62" t="n">
        <x:f>IF(H153=0,"No plan at start",I153/H153)</x:f>
        <x:v>2</x:v>
      </x:c>
      <x:c r="K153" s="60" t="n">
        <x:f>MAX(H153-I153, 0)</x:f>
        <x:v>0</x:v>
      </x:c>
      <x:c r="L153" s="60" t="n">
        <x:v>0</x:v>
      </x:c>
      <x:c r="M153" s="60" t="n">
        <x:f>I153+L153</x:f>
        <x:v>3</x:v>
      </x:c>
      <x:c r="N153" s="60" t="n">
        <x:f>M153-H153</x:f>
        <x:v>2</x:v>
      </x:c>
      <x:c r="O153" s="61" t="n">
        <x:f>IF(H153=0,"No plan at start",M153/H153)</x:f>
        <x:v>3</x:v>
      </x:c>
    </x:row>
    <x:row r="154" spans="1:19" hidden="1" outlineLevel="2" collapsed="1" x14ac:dyDescent="0.2">
      <x:c r="B154" s="45" t="inlineStr">
        <x:is>
          <x:t>N707</x:t>
        </x:is>
      </x:c>
      <x:c r="C154" s="46" t="inlineStr">
        <x:is>
          <x:t>Wierzbicki, Jaroslaw</x:t>
        </x:is>
      </x:c>
      <x:c r="D154" s="45" t="n">
        <x:v>0</x:v>
      </x:c>
      <x:c r="E154" s="19" t="n">
        <x:v>1050.92</x:v>
      </x:c>
      <x:c r="F154" s="19" t="n">
        <x:f>MAX(D154-E154, 0)</x:f>
        <x:v>1</x:v>
      </x:c>
      <x:c r="G154" s="47" t="n">
        <x:f>IF(D154=0,0,ABS(E154/D154))</x:f>
        <x:v>0.5</x:v>
      </x:c>
      <x:c r="H154" s="52"/>
      <x:c r="I154" s="50"/>
      <x:c r="J154" s="50"/>
      <x:c r="K154" s="51"/>
      <x:c r="L154" s="19" t="n">
        <x:v>0</x:v>
      </x:c>
      <x:c r="M154" s="50"/>
      <x:c r="N154" s="50"/>
      <x:c r="O154" s="70"/>
    </x:row>
    <x:row r="155" spans="1:19" ht="13.5" outlineLevel="1" thickBot="1" x14ac:dyDescent="0.25">
      <x:c r="B155" s="63" t="inlineStr">
        <x:v>49</x:v>
        <x:is>
          <x:t>Total N707</x:t>
        </x:is>
      </x:c>
      <x:c r="C155" s="64"/>
      <x:c r="D155" s="63" t="n">
        <x:v>0</x:v>
      </x:c>
      <x:c r="E155" s="65" t="n">
        <x:v>1050.92</x:v>
      </x:c>
      <x:c r="F155" s="65" t="n">
        <x:f>MAX(D155-E155, 0)</x:f>
        <x:v>0</x:v>
      </x:c>
      <x:c r="G155" s="66" t="n">
        <x:f>IF(D155=0,0,ABS(E155/D155))</x:f>
        <x:v>4</x:v>
      </x:c>
      <x:c r="H155" s="63" t="n">
        <x:v>29300.544</x:v>
      </x:c>
      <x:c r="I155" s="65" t="n">
        <x:v>8458.84</x:v>
      </x:c>
      <x:c r="J155" s="67" t="n">
        <x:f>IF(H155=0,"No plan at start",I155/H155)</x:f>
        <x:v>0.5</x:v>
      </x:c>
      <x:c r="K155" s="65" t="n">
        <x:f>MAX(H155-I155, 0)</x:f>
        <x:v>1</x:v>
      </x:c>
      <x:c r="L155" s="65" t="n">
        <x:v>0</x:v>
      </x:c>
      <x:c r="M155" s="65" t="n">
        <x:f>I155+L155</x:f>
        <x:v>6</x:v>
      </x:c>
      <x:c r="N155" s="65" t="n">
        <x:f>M155-H155</x:f>
        <x:v>4</x:v>
      </x:c>
      <x:c r="O155" s="66" t="n">
        <x:f>IF(H155=0,"No plan at start",M155/H155)</x:f>
        <x:v>3</x:v>
      </x:c>
    </x:row>
    <x:row r="156" x14ac:dyDescent="0.2"/>
  </x:sheetData>
  <x:mergeCells count="9">
    <x:mergeCell ref="B2:C2"/>
    <x:mergeCell ref="F2:G2"/>
    <x:mergeCell ref="F4:G4"/>
    <x:mergeCell ref="F5:O7"/>
    <x:mergeCell ref="F8:M9"/>
    <x:mergeCell ref="D14:G14"/>
    <x:mergeCell ref="H14:O14"/>
    <x:mergeCell ref="D87:G87"/>
    <x:mergeCell ref="H87:O87"/>
  </x:mergeCells>
  <x:conditionalFormatting sqref="F17:F82 F90:F155">
    <x:cfRule type="cellIs" dxfId="11" priority="5" operator="greaterThan">
      <x:formula>0</x:formula>
    </x:cfRule>
    <x:cfRule type="cellIs" dxfId="10" priority="6" operator="lessThanOrEqual">
      <x:formula>0</x:formula>
    </x:cfRule>
  </x:conditionalFormatting>
  <x:conditionalFormatting sqref="N18 N27 N29 N31 N35 N39 N52 N54 N63 N66 N70 N73 N75 N78 N80 N82 N91 N100 N102 N104 N108 N112 N125 N127 N136 N139 N143 N146 N148 N151 N153 N155">
    <x:cfRule type="cellIs" dxfId="9" priority="4" operator="greaterThan">
      <x:formula>0</x:formula>
    </x:cfRule>
    <x:cfRule type="cellIs" dxfId="8" priority="3" operator="lessThanOrEqual">
      <x:formula>0</x:formula>
    </x:cfRule>
  </x:conditionalFormatting>
  <x:conditionalFormatting sqref="K18 K27 K29 K31 K35 K39 K52 K54 K63 K66 K70 K73 K75 K78 K80 K82 K91 K100 K102 K104 K108 K112 K125 K127 K136 K139 K143 K146 K148 K151 K153 K155">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