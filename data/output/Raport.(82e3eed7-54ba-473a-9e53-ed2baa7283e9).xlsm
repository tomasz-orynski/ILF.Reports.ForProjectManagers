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<sst xmlns="http://schemas.openxmlformats.org/spreadsheetml/2006/main" count="79" uniqueCount="50">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</sst>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Telecommunication</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Pieszko</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Pawel Lewandowski</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Dziura, Slawomir</x:t>
        </x:is>
      </x:c>
      <x:c r="D17" s="45" t="n">
        <x:v>0</x:v>
      </x:c>
      <x:c r="E17" s="19" t="n">
        <x:v>3.75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E872</x:t>
        </x:is>
      </x:c>
      <x:c r="C18" s="46" t="inlineStr">
        <x:is>
          <x:t>Litwinczuk, Robert</x:t>
        </x:is>
      </x:c>
      <x:c r="D18" s="45" t="n">
        <x:v>0</x:v>
      </x:c>
      <x:c r="E18" s="19" t="n">
        <x:v>4</x:v>
      </x:c>
      <x:c r="F18" s="19" t="n">
        <x:f>MAX(D18-E18, 0)</x:f>
        <x:v>1</x:v>
      </x:c>
      <x:c r="G18" s="47" t="n">
        <x:f>IF(D18=0,0,ABS(E18/D18))</x:f>
        <x:v>0.5</x:v>
      </x:c>
      <x:c r="H18" s="72"/>
      <x:c r="I18" s="73"/>
      <x:c r="J18" s="73"/>
      <x:c r="K18" s="74"/>
      <x:c r="L18" s="19" t="n">
        <x:v>220</x:v>
      </x:c>
      <x:c r="M18" s="75"/>
      <x:c r="N18" s="73"/>
      <x:c r="O18" s="76"/>
      <x:c r="P18" s="29"/>
      <x:c r="Q18" s="30"/>
      <x:c r="R18" s="31"/>
      <x:c r="S18" s="31"/>
    </x:row>
    <x:row r="19" spans="1:19" s="7" customFormat="1" hidden="1" outlineLevel="2" collapsed="1" x14ac:dyDescent="0.2">
      <x:c r="A19" s="5"/>
      <x:c r="B19" s="45" t="inlineStr">
        <x:is>
          <x:t>E872</x:t>
        </x:is>
      </x:c>
      <x:c r="C19" s="46" t="inlineStr">
        <x:is>
          <x:t>Pieszko, Pawel</x:t>
        </x:is>
      </x:c>
      <x:c r="D19" s="45" t="n">
        <x:v>0</x:v>
      </x:c>
      <x:c r="E19" s="19" t="n">
        <x:v>27.00</x:v>
      </x:c>
      <x:c r="F19" s="19" t="n">
        <x:f>MAX(D19-E19, 0)</x:f>
        <x:v>1</x:v>
      </x:c>
      <x:c r="G19" s="47" t="n">
        <x:f>IF(D19=0,0,ABS(E19/D19))</x:f>
        <x:v>0.5</x:v>
      </x:c>
      <x:c r="H19" s="72"/>
      <x:c r="I19" s="73"/>
      <x:c r="J19" s="73"/>
      <x:c r="K19" s="74"/>
      <x:c r="L19" s="19" t="n">
        <x:v>1241.2</x:v>
      </x:c>
      <x:c r="M19" s="75"/>
      <x:c r="N19" s="73"/>
      <x:c r="O19" s="76"/>
      <x:c r="P19" s="29"/>
      <x:c r="Q19" s="30"/>
      <x:c r="R19" s="31"/>
      <x:c r="S19" s="31"/>
    </x:row>
    <x:row r="20" spans="1:19" s="7" customFormat="1" hidden="1" outlineLevel="2" collapsed="1" x14ac:dyDescent="0.2">
      <x:c r="A20" s="5"/>
      <x:c r="B20" s="45" t="inlineStr">
        <x:is>
          <x:t>E872</x:t>
        </x:is>
      </x:c>
      <x:c r="C20" s="46" t="inlineStr">
        <x:is>
          <x:t>Zbroja, Adam</x:t>
        </x:is>
      </x:c>
      <x:c r="D20" s="45" t="n">
        <x:v>0</x:v>
      </x:c>
      <x:c r="E20" s="19" t="n">
        <x:v>1</x:v>
      </x:c>
      <x:c r="F20" s="19" t="n">
        <x:f>MAX(D20-E20, 0)</x:f>
        <x:v>1</x:v>
      </x:c>
      <x:c r="G20" s="47" t="n">
        <x:f>IF(D20=0,0,ABS(E20/D20))</x:f>
        <x:v>0.5</x:v>
      </x:c>
      <x:c r="H20" s="72"/>
      <x:c r="I20" s="73"/>
      <x:c r="J20" s="73"/>
      <x:c r="K20" s="74"/>
      <x:c r="L20" s="19" t="n">
        <x:v>0</x:v>
      </x:c>
      <x:c r="M20" s="57"/>
      <x:c r="N20" s="54"/>
      <x:c r="O20" s="71"/>
      <x:c r="P20" s="29"/>
      <x:c r="Q20" s="30"/>
      <x:c r="R20" s="31"/>
      <x:c r="S20" s="31"/>
    </x:row>
    <x:row r="21" spans="1:19" s="7" customFormat="1" outlineLevel="1" x14ac:dyDescent="0.2">
      <x:c r="A21" s="5"/>
      <x:c r="B21" s="58" t="inlineStr">
        <x:v>49</x:v>
        <x:is>
          <x:t>Total E872</x:t>
        </x:is>
      </x:c>
      <x:c r="C21" s="59"/>
      <x:c r="D21" s="58" t="n">
        <x:v>0</x:v>
      </x:c>
      <x:c r="E21" s="60" t="n">
        <x:v>35.75</x:v>
      </x:c>
      <x:c r="F21" s="60" t="n">
        <x:f>MAX(D21-E21, 0)</x:f>
        <x:v>1</x:v>
      </x:c>
      <x:c r="G21" s="61" t="n">
        <x:f>IF(D21=0,0,ABS(E21/D21))</x:f>
        <x:v>0.5</x:v>
      </x:c>
      <x:c r="H21" s="58" t="n">
        <x:v>0</x:v>
      </x:c>
      <x:c r="I21" s="60" t="n">
        <x:v>3286.30</x:v>
      </x:c>
      <x:c r="J21" s="62" t="n">
        <x:f>IF(H21=0,"No plan at start",I21/H21)</x:f>
        <x:v>2</x:v>
      </x:c>
      <x:c r="K21" s="60" t="n">
        <x:f>MAX(H21-I21, 0)</x:f>
        <x:v>0</x:v>
      </x:c>
      <x:c r="L21" s="60" t="n">
        <x:v>1461.2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Pieszko, Pawel</x:t>
        </x:is>
      </x:c>
      <x:c r="D22" s="45" t="n">
        <x:v>25.2</x:v>
      </x:c>
      <x:c r="E22" s="19" t="n">
        <x:v>7.0</x:v>
      </x:c>
      <x:c r="F22" s="19" t="n">
        <x:f>MAX(D22-E22, 0)</x:f>
        <x:v>1</x:v>
      </x:c>
      <x:c r="G22" s="47" t="n">
        <x:f>IF(D22=0,0,ABS(E22/D22))</x:f>
        <x:v>0.5</x:v>
      </x:c>
      <x:c r="H22" s="52"/>
      <x:c r="I22" s="50"/>
      <x:c r="J22" s="50"/>
      <x:c r="K22" s="51"/>
      <x:c r="L22" s="19" t="n">
        <x:v>128.4</x:v>
      </x:c>
      <x:c r="M22" s="56"/>
      <x:c r="N22" s="50"/>
      <x:c r="O22" s="70"/>
      <x:c r="P22" s="29"/>
      <x:c r="Q22" s="30"/>
      <x:c r="R22" s="31"/>
      <x:c r="S22" s="31"/>
    </x:row>
    <x:row r="23" spans="1:19" s="7" customFormat="1" outlineLevel="1" x14ac:dyDescent="0.2">
      <x:c r="A23" s="5"/>
      <x:c r="B23" s="58" t="inlineStr">
        <x:v>49</x:v>
        <x:is>
          <x:t>Total F808</x:t>
        </x:is>
      </x:c>
      <x:c r="C23" s="59"/>
      <x:c r="D23" s="58" t="n">
        <x:v>25.2</x:v>
      </x:c>
      <x:c r="E23" s="60" t="n">
        <x:v>7.0</x:v>
      </x:c>
      <x:c r="F23" s="60" t="n">
        <x:f>MAX(D23-E23, 0)</x:f>
        <x:v>1</x:v>
      </x:c>
      <x:c r="G23" s="61" t="n">
        <x:f>IF(D23=0,0,ABS(E23/D23))</x:f>
        <x:v>0.5</x:v>
      </x:c>
      <x:c r="H23" s="58" t="n">
        <x:v>0</x:v>
      </x:c>
      <x:c r="I23" s="60" t="n">
        <x:v>666.75</x:v>
      </x:c>
      <x:c r="J23" s="62" t="n">
        <x:f>IF(H23=0,"No plan at start",I23/H23)</x:f>
        <x:v>2</x:v>
      </x:c>
      <x:c r="K23" s="60" t="n">
        <x:f>MAX(H23-I23, 0)</x:f>
        <x:v>0</x:v>
      </x:c>
      <x:c r="L23" s="60" t="n">
        <x:v>128.4</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Druc, Karol</x:t>
        </x:is>
      </x:c>
      <x:c r="D24" s="45" t="n">
        <x:v>126</x:v>
      </x:c>
      <x:c r="E24" s="19" t="n">
        <x:v>77</x:v>
      </x:c>
      <x:c r="F24" s="19" t="n">
        <x:f>MAX(D24-E24, 0)</x:f>
        <x:v>1</x:v>
      </x:c>
      <x:c r="G24" s="47" t="n">
        <x:f>IF(D24=0,0,ABS(E24/D24))</x:f>
        <x:v>0.5</x:v>
      </x:c>
      <x:c r="H24" s="52"/>
      <x:c r="I24" s="50"/>
      <x:c r="J24" s="50"/>
      <x:c r="K24" s="51"/>
      <x:c r="L24" s="19" t="n">
        <x:v>110.4</x:v>
      </x:c>
      <x:c r="M24" s="56"/>
      <x:c r="N24" s="50"/>
      <x:c r="O24" s="70"/>
      <x:c r="P24" s="29"/>
      <x:c r="Q24" s="30"/>
      <x:c r="R24" s="31"/>
      <x:c r="S24" s="31"/>
    </x:row>
    <x:row r="25" spans="1:19" s="7" customFormat="1" hidden="1" outlineLevel="2" collapsed="1" x14ac:dyDescent="0.2">
      <x:c r="A25" s="5"/>
      <x:c r="B25" s="45" t="inlineStr">
        <x:is>
          <x:t>H808</x:t>
        </x:is>
      </x:c>
      <x:c r="C25" s="46" t="inlineStr">
        <x:is>
          <x:t>Dziura, Slawomir</x:t>
        </x:is>
      </x:c>
      <x:c r="D25" s="45" t="n">
        <x:v>0</x:v>
      </x:c>
      <x:c r="E25" s="19" t="n">
        <x:v>1</x:v>
      </x:c>
      <x:c r="F25" s="19" t="n">
        <x:f>MAX(D25-E25, 0)</x:f>
        <x:v>1</x:v>
      </x:c>
      <x:c r="G25" s="47" t="n">
        <x:f>IF(D25=0,0,ABS(E25/D25))</x:f>
        <x:v>0.5</x:v>
      </x:c>
      <x:c r="H25" s="72"/>
      <x:c r="I25" s="73"/>
      <x:c r="J25" s="73"/>
      <x:c r="K25" s="74"/>
      <x:c r="L25" s="19" t="n">
        <x:v>0</x:v>
      </x:c>
      <x:c r="M25" s="75"/>
      <x:c r="N25" s="73"/>
      <x:c r="O25" s="76"/>
      <x:c r="P25" s="29"/>
      <x:c r="Q25" s="30"/>
      <x:c r="R25" s="31"/>
      <x:c r="S25" s="31"/>
    </x:row>
    <x:row r="26" spans="1:19" s="7" customFormat="1" hidden="1" outlineLevel="2" collapsed="1" x14ac:dyDescent="0.2">
      <x:c r="A26" s="5"/>
      <x:c r="B26" s="45" t="inlineStr">
        <x:is>
          <x:t>H808</x:t>
        </x:is>
      </x:c>
      <x:c r="C26" s="46" t="inlineStr">
        <x:is>
          <x:t>Grzybowski, Piotr</x:t>
        </x:is>
      </x:c>
      <x:c r="D26" s="45" t="n">
        <x:v>0</x:v>
      </x:c>
      <x:c r="E26" s="19" t="n">
        <x:v>37.5</x:v>
      </x:c>
      <x:c r="F26" s="19" t="n">
        <x:f>MAX(D26-E26, 0)</x:f>
        <x:v>1</x:v>
      </x:c>
      <x:c r="G26" s="47" t="n">
        <x:f>IF(D26=0,0,ABS(E26/D26))</x:f>
        <x:v>0.5</x:v>
      </x:c>
      <x:c r="H26" s="72"/>
      <x:c r="I26" s="73"/>
      <x:c r="J26" s="73"/>
      <x:c r="K26" s="74"/>
      <x:c r="L26" s="19" t="n">
        <x:v>110.4</x:v>
      </x:c>
      <x:c r="M26" s="75"/>
      <x:c r="N26" s="73"/>
      <x:c r="O26" s="76"/>
      <x:c r="P26" s="29"/>
      <x:c r="Q26" s="30"/>
      <x:c r="R26" s="31"/>
      <x:c r="S26" s="31"/>
    </x:row>
    <x:row r="27" spans="1:19" s="7" customFormat="1" hidden="1" outlineLevel="2" collapsed="1" x14ac:dyDescent="0.2">
      <x:c r="A27" s="5"/>
      <x:c r="B27" s="45" t="inlineStr">
        <x:is>
          <x:t>H808</x:t>
        </x:is>
      </x:c>
      <x:c r="C27" s="46" t="inlineStr">
        <x:is>
          <x:t>Litwinczuk, Robert</x:t>
        </x:is>
      </x:c>
      <x:c r="D27" s="45" t="n">
        <x:v>0</x:v>
      </x:c>
      <x:c r="E27" s="19" t="n">
        <x:v>37.0</x:v>
      </x:c>
      <x:c r="F27" s="19" t="n">
        <x:f>MAX(D27-E27, 0)</x:f>
        <x:v>1</x:v>
      </x:c>
      <x:c r="G27" s="47" t="n">
        <x:f>IF(D27=0,0,ABS(E27/D27))</x:f>
        <x:v>0.5</x:v>
      </x:c>
      <x:c r="H27" s="72"/>
      <x:c r="I27" s="73"/>
      <x:c r="J27" s="73"/>
      <x:c r="K27" s="74"/>
      <x:c r="L27" s="19" t="n">
        <x:v>110.4</x:v>
      </x:c>
      <x:c r="M27" s="75"/>
      <x:c r="N27" s="73"/>
      <x:c r="O27" s="76"/>
      <x:c r="P27" s="29"/>
      <x:c r="Q27" s="30"/>
      <x:c r="R27" s="31"/>
      <x:c r="S27" s="31"/>
    </x:row>
    <x:row r="28" spans="1:19" s="7" customFormat="1" hidden="1" outlineLevel="2" collapsed="1" x14ac:dyDescent="0.2">
      <x:c r="A28" s="5"/>
      <x:c r="B28" s="45" t="inlineStr">
        <x:is>
          <x:t>H808</x:t>
        </x:is>
      </x:c>
      <x:c r="C28" s="46" t="inlineStr">
        <x:is>
          <x:t>Pieszko, Pawel</x:t>
        </x:is>
      </x:c>
      <x:c r="D28" s="45" t="n">
        <x:v>33.6</x:v>
      </x:c>
      <x:c r="E28" s="19" t="n">
        <x:v>16.75</x:v>
      </x:c>
      <x:c r="F28" s="19" t="n">
        <x:f>MAX(D28-E28, 0)</x:f>
        <x:v>1</x:v>
      </x:c>
      <x:c r="G28" s="47" t="n">
        <x:f>IF(D28=0,0,ABS(E28/D28))</x:f>
        <x:v>0.5</x:v>
      </x:c>
      <x:c r="H28" s="72"/>
      <x:c r="I28" s="73"/>
      <x:c r="J28" s="73"/>
      <x:c r="K28" s="74"/>
      <x:c r="L28" s="19" t="n">
        <x:v>325.2</x:v>
      </x:c>
      <x:c r="M28" s="57"/>
      <x:c r="N28" s="54"/>
      <x:c r="O28" s="71"/>
      <x:c r="P28" s="29"/>
      <x:c r="Q28" s="30"/>
      <x:c r="R28" s="31"/>
      <x:c r="S28" s="31"/>
    </x:row>
    <x:row r="29" spans="1:19" s="7" customFormat="1" outlineLevel="1" x14ac:dyDescent="0.2">
      <x:c r="A29" s="5"/>
      <x:c r="B29" s="58" t="inlineStr">
        <x:v>49</x:v>
        <x:is>
          <x:t>Total H808</x:t>
        </x:is>
      </x:c>
      <x:c r="C29" s="59"/>
      <x:c r="D29" s="58" t="n">
        <x:v>159.6</x:v>
      </x:c>
      <x:c r="E29" s="60" t="n">
        <x:v>169.25</x:v>
      </x:c>
      <x:c r="F29" s="60" t="n">
        <x:f>MAX(D29-E29, 0)</x:f>
        <x:v>1</x:v>
      </x:c>
      <x:c r="G29" s="61" t="n">
        <x:f>IF(D29=0,0,ABS(E29/D29))</x:f>
        <x:v>0.5</x:v>
      </x:c>
      <x:c r="H29" s="58" t="n">
        <x:v>6452.8</x:v>
      </x:c>
      <x:c r="I29" s="60" t="n">
        <x:v>4576.75</x:v>
      </x:c>
      <x:c r="J29" s="62" t="n">
        <x:f>IF(H29=0,"No plan at start",I29/H29)</x:f>
        <x:v>2</x:v>
      </x:c>
      <x:c r="K29" s="60" t="n">
        <x:f>MAX(H29-I29, 0)</x:f>
        <x:v>0</x:v>
      </x:c>
      <x:c r="L29" s="60" t="n">
        <x:v>656.4</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H919</x:t>
        </x:is>
      </x:c>
      <x:c r="C30" s="46" t="inlineStr">
        <x:is>
          <x:t>Dziura, Slawomir</x:t>
        </x:is>
      </x:c>
      <x:c r="D30" s="45" t="n">
        <x:v>0</x:v>
      </x:c>
      <x:c r="E30" s="19" t="n">
        <x:v>0.5</x:v>
      </x:c>
      <x:c r="F30" s="19" t="n">
        <x:f>MAX(D30-E30, 0)</x:f>
        <x:v>1</x:v>
      </x:c>
      <x:c r="G30" s="47" t="n">
        <x:f>IF(D30=0,0,ABS(E30/D30))</x:f>
        <x:v>0.5</x:v>
      </x:c>
      <x:c r="H30" s="52"/>
      <x:c r="I30" s="50"/>
      <x:c r="J30" s="50"/>
      <x:c r="K30" s="51"/>
      <x:c r="L30" s="19" t="n">
        <x:v>0</x:v>
      </x:c>
      <x:c r="M30" s="56"/>
      <x:c r="N30" s="50"/>
      <x:c r="O30" s="70"/>
      <x:c r="P30" s="29"/>
      <x:c r="Q30" s="30"/>
      <x:c r="R30" s="31"/>
      <x:c r="S30" s="31"/>
    </x:row>
    <x:row r="31" spans="1:19" s="7" customFormat="1" outlineLevel="1" x14ac:dyDescent="0.2">
      <x:c r="A31" s="5"/>
      <x:c r="B31" s="58" t="inlineStr">
        <x:v>49</x:v>
        <x:is>
          <x:t>Total H919</x:t>
        </x:is>
      </x:c>
      <x:c r="C31" s="59"/>
      <x:c r="D31" s="58" t="n">
        <x:v>0</x:v>
      </x:c>
      <x:c r="E31" s="60" t="n">
        <x:v>0.5</x:v>
      </x:c>
      <x:c r="F31" s="60" t="n">
        <x:f>MAX(D31-E31, 0)</x:f>
        <x:v>1</x:v>
      </x:c>
      <x:c r="G31" s="61" t="n">
        <x:f>IF(D31=0,0,ABS(E31/D31))</x:f>
        <x:v>0.5</x:v>
      </x:c>
      <x:c r="H31" s="58" t="n">
        <x:v>0</x:v>
      </x:c>
      <x:c r="I31" s="60" t="n">
        <x:v>222.75</x:v>
      </x:c>
      <x:c r="J31" s="62" t="n">
        <x:f>IF(H31=0,"No plan at start",I31/H31)</x:f>
        <x:v>2</x:v>
      </x:c>
      <x:c r="K31" s="60" t="n">
        <x:f>MAX(H31-I31, 0)</x:f>
        <x:v>0</x:v>
      </x:c>
      <x:c r="L31" s="60" t="n">
        <x:v>0</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J500</x:t>
        </x:is>
      </x:c>
      <x:c r="C32" s="46" t="inlineStr">
        <x:is>
          <x:t>Dziura, Slawomir</x:t>
        </x:is>
      </x:c>
      <x:c r="D32" s="45" t="n">
        <x:v>0</x:v>
      </x:c>
      <x:c r="E32" s="19" t="n">
        <x:v>10.00</x:v>
      </x:c>
      <x:c r="F32" s="19" t="n">
        <x:f>MAX(D32-E32, 0)</x:f>
        <x:v>1</x:v>
      </x:c>
      <x:c r="G32" s="47" t="n">
        <x:f>IF(D32=0,0,ABS(E32/D32))</x:f>
        <x:v>0.5</x:v>
      </x:c>
      <x:c r="H32" s="52"/>
      <x:c r="I32" s="50"/>
      <x:c r="J32" s="50"/>
      <x:c r="K32" s="51"/>
      <x:c r="L32" s="19" t="n">
        <x:v>160</x:v>
      </x:c>
      <x:c r="M32" s="56"/>
      <x:c r="N32" s="50"/>
      <x:c r="O32" s="70"/>
      <x:c r="P32" s="29"/>
      <x:c r="Q32" s="30"/>
      <x:c r="R32" s="31"/>
      <x:c r="S32" s="31"/>
    </x:row>
    <x:row r="33" spans="1:19" s="7" customFormat="1" hidden="1" outlineLevel="2" collapsed="1" x14ac:dyDescent="0.2">
      <x:c r="A33" s="5"/>
      <x:c r="B33" s="45" t="inlineStr">
        <x:is>
          <x:t>J500</x:t>
        </x:is>
      </x:c>
      <x:c r="C33" s="46" t="inlineStr">
        <x:is>
          <x:t>Grzybowski, Piotr</x:t>
        </x:is>
      </x:c>
      <x:c r="D33" s="45" t="n">
        <x:v>33.6</x:v>
      </x:c>
      <x:c r="E33" s="19" t="n">
        <x:v>0</x:v>
      </x:c>
      <x:c r="F33" s="19" t="n">
        <x:f>MAX(D33-E33, 0)</x:f>
        <x:v>1</x:v>
      </x:c>
      <x:c r="G33" s="47" t="n">
        <x:f>IF(D33=0,0,ABS(E33/D33))</x:f>
        <x:v>0.5</x:v>
      </x:c>
      <x:c r="H33" s="72"/>
      <x:c r="I33" s="73"/>
      <x:c r="J33" s="73"/>
      <x:c r="K33" s="74"/>
      <x:c r="L33" s="19" t="n">
        <x:v>94.4</x:v>
      </x:c>
      <x:c r="M33" s="75"/>
      <x:c r="N33" s="73"/>
      <x:c r="O33" s="76"/>
      <x:c r="P33" s="29"/>
      <x:c r="Q33" s="30"/>
      <x:c r="R33" s="31"/>
      <x:c r="S33" s="31"/>
    </x:row>
    <x:row r="34" spans="1:19" s="7" customFormat="1" hidden="1" outlineLevel="2" collapsed="1" x14ac:dyDescent="0.2">
      <x:c r="A34" s="5"/>
      <x:c r="B34" s="45" t="inlineStr">
        <x:is>
          <x:t>J500</x:t>
        </x:is>
      </x:c>
      <x:c r="C34" s="46" t="inlineStr">
        <x:is>
          <x:t>Litwinczuk, Robert</x:t>
        </x:is>
      </x:c>
      <x:c r="D34" s="45" t="n">
        <x:v>33.6</x:v>
      </x:c>
      <x:c r="E34" s="19" t="n">
        <x:v>25.5</x:v>
      </x:c>
      <x:c r="F34" s="19" t="n">
        <x:f>MAX(D34-E34, 0)</x:f>
        <x:v>1</x:v>
      </x:c>
      <x:c r="G34" s="47" t="n">
        <x:f>IF(D34=0,0,ABS(E34/D34))</x:f>
        <x:v>0.5</x:v>
      </x:c>
      <x:c r="H34" s="72"/>
      <x:c r="I34" s="73"/>
      <x:c r="J34" s="73"/>
      <x:c r="K34" s="74"/>
      <x:c r="L34" s="19" t="n">
        <x:v>176</x:v>
      </x:c>
      <x:c r="M34" s="75"/>
      <x:c r="N34" s="73"/>
      <x:c r="O34" s="76"/>
      <x:c r="P34" s="29"/>
      <x:c r="Q34" s="30"/>
      <x:c r="R34" s="31"/>
      <x:c r="S34" s="31"/>
    </x:row>
    <x:row r="35" spans="1:19" s="7" customFormat="1" hidden="1" outlineLevel="2" collapsed="1" x14ac:dyDescent="0.2">
      <x:c r="A35" s="5"/>
      <x:c r="B35" s="45" t="inlineStr">
        <x:is>
          <x:t>J500</x:t>
        </x:is>
      </x:c>
      <x:c r="C35" s="46" t="inlineStr">
        <x:is>
          <x:t>Pieszko, Pawel</x:t>
        </x:is>
      </x:c>
      <x:c r="D35" s="45" t="n">
        <x:v>33.6</x:v>
      </x:c>
      <x:c r="E35" s="19" t="n">
        <x:v>7.75</x:v>
      </x:c>
      <x:c r="F35" s="19" t="n">
        <x:f>MAX(D35-E35, 0)</x:f>
        <x:v>1</x:v>
      </x:c>
      <x:c r="G35" s="47" t="n">
        <x:f>IF(D35=0,0,ABS(E35/D35))</x:f>
        <x:v>0.5</x:v>
      </x:c>
      <x:c r="H35" s="72"/>
      <x:c r="I35" s="73"/>
      <x:c r="J35" s="73"/>
      <x:c r="K35" s="74"/>
      <x:c r="L35" s="19" t="n">
        <x:v>136</x:v>
      </x:c>
      <x:c r="M35" s="75"/>
      <x:c r="N35" s="73"/>
      <x:c r="O35" s="76"/>
      <x:c r="P35" s="29"/>
      <x:c r="Q35" s="30"/>
      <x:c r="R35" s="31"/>
      <x:c r="S35" s="31"/>
    </x:row>
    <x:row r="36" spans="1:19" s="7" customFormat="1" hidden="1" outlineLevel="2" collapsed="1" x14ac:dyDescent="0.2">
      <x:c r="A36" s="5"/>
      <x:c r="B36" s="45" t="inlineStr">
        <x:is>
          <x:t>J500</x:t>
        </x:is>
      </x:c>
      <x:c r="C36" s="46" t="inlineStr">
        <x:is>
          <x:t>Zbroja, Adam</x:t>
        </x:is>
      </x:c>
      <x:c r="D36" s="45" t="n">
        <x:v>0</x:v>
      </x:c>
      <x:c r="E36" s="19" t="n">
        <x:v>86.00</x:v>
      </x:c>
      <x:c r="F36" s="19" t="n">
        <x:f>MAX(D36-E36, 0)</x:f>
        <x:v>1</x:v>
      </x:c>
      <x:c r="G36" s="47" t="n">
        <x:f>IF(D36=0,0,ABS(E36/D36))</x:f>
        <x:v>0.5</x:v>
      </x:c>
      <x:c r="H36" s="72"/>
      <x:c r="I36" s="73"/>
      <x:c r="J36" s="73"/>
      <x:c r="K36" s="74"/>
      <x:c r="L36" s="19" t="n">
        <x:v>96</x:v>
      </x:c>
      <x:c r="M36" s="57"/>
      <x:c r="N36" s="54"/>
      <x:c r="O36" s="71"/>
      <x:c r="P36" s="29"/>
      <x:c r="Q36" s="30"/>
      <x:c r="R36" s="31"/>
      <x:c r="S36" s="31"/>
    </x:row>
    <x:row r="37" spans="1:19" s="7" customFormat="1" outlineLevel="1" x14ac:dyDescent="0.2">
      <x:c r="A37" s="5"/>
      <x:c r="B37" s="58" t="inlineStr">
        <x:v>49</x:v>
        <x:is>
          <x:t>Total J500</x:t>
        </x:is>
      </x:c>
      <x:c r="C37" s="59"/>
      <x:c r="D37" s="58" t="n">
        <x:v>100.8</x:v>
      </x:c>
      <x:c r="E37" s="60" t="n">
        <x:v>129.25</x:v>
      </x:c>
      <x:c r="F37" s="60" t="n">
        <x:f>MAX(D37-E37, 0)</x:f>
        <x:v>1</x:v>
      </x:c>
      <x:c r="G37" s="61" t="n">
        <x:f>IF(D37=0,0,ABS(E37/D37))</x:f>
        <x:v>0.5</x:v>
      </x:c>
      <x:c r="H37" s="58" t="n">
        <x:v>1242.4</x:v>
      </x:c>
      <x:c r="I37" s="60" t="n">
        <x:v>964.00</x:v>
      </x:c>
      <x:c r="J37" s="62" t="n">
        <x:f>IF(H37=0,"No plan at start",I37/H37)</x:f>
        <x:v>2</x:v>
      </x:c>
      <x:c r="K37" s="60" t="n">
        <x:f>MAX(H37-I37, 0)</x:f>
        <x:v>0</x:v>
      </x:c>
      <x:c r="L37" s="60" t="n">
        <x:v>662.4</x:v>
      </x:c>
      <x:c r="M37" s="60" t="n">
        <x:f>I37+L37</x:f>
        <x:v>3</x:v>
      </x:c>
      <x:c r="N37" s="60" t="n">
        <x:f>M37-H37</x:f>
        <x:v>2</x:v>
      </x:c>
      <x:c r="O37" s="61" t="n">
        <x:f>IF(H37=0,"No plan at start",M37/H37)</x:f>
        <x:v>3</x:v>
      </x:c>
      <x:c r="P37" s="29"/>
      <x:c r="Q37" s="30"/>
      <x:c r="R37" s="31"/>
      <x:c r="S37" s="31"/>
    </x:row>
    <x:row r="38" spans="1:19" s="7" customFormat="1" hidden="1" outlineLevel="2" collapsed="1" x14ac:dyDescent="0.2">
      <x:c r="A38" s="5"/>
      <x:c r="B38" s="45" t="inlineStr">
        <x:is>
          <x:t>K094</x:t>
        </x:is>
      </x:c>
      <x:c r="C38" s="46" t="inlineStr">
        <x:is>
          <x:t>Grzybowski, Piotr</x:t>
        </x:is>
      </x:c>
      <x:c r="D38" s="45" t="n">
        <x:v>0</x:v>
      </x:c>
      <x:c r="E38" s="19" t="n">
        <x:v>24.75</x:v>
      </x:c>
      <x:c r="F38" s="19" t="n">
        <x:f>MAX(D38-E38, 0)</x:f>
        <x:v>1</x:v>
      </x:c>
      <x:c r="G38" s="47" t="n">
        <x:f>IF(D38=0,0,ABS(E38/D38))</x:f>
        <x:v>0.5</x:v>
      </x:c>
      <x:c r="H38" s="52"/>
      <x:c r="I38" s="50"/>
      <x:c r="J38" s="50"/>
      <x:c r="K38" s="51"/>
      <x:c r="L38" s="19" t="n">
        <x:v>0</x:v>
      </x:c>
      <x:c r="M38" s="56"/>
      <x:c r="N38" s="50"/>
      <x:c r="O38" s="70"/>
      <x:c r="P38" s="29"/>
      <x:c r="Q38" s="30"/>
      <x:c r="R38" s="31"/>
      <x:c r="S38" s="31"/>
    </x:row>
    <x:row r="39" spans="1:19" s="7" customFormat="1" outlineLevel="1" x14ac:dyDescent="0.2">
      <x:c r="A39" s="5"/>
      <x:c r="B39" s="58" t="inlineStr">
        <x:v>49</x:v>
        <x:is>
          <x:t>Total K094</x:t>
        </x:is>
      </x:c>
      <x:c r="C39" s="59"/>
      <x:c r="D39" s="58" t="n">
        <x:v>0</x:v>
      </x:c>
      <x:c r="E39" s="60" t="n">
        <x:v>24.75</x:v>
      </x:c>
      <x:c r="F39" s="60" t="n">
        <x:f>MAX(D39-E39, 0)</x:f>
        <x:v>1</x:v>
      </x:c>
      <x:c r="G39" s="61" t="n">
        <x:f>IF(D39=0,0,ABS(E39/D39))</x:f>
        <x:v>0.5</x:v>
      </x:c>
      <x:c r="H39" s="58" t="n">
        <x:v>0</x:v>
      </x:c>
      <x:c r="I39" s="60" t="n">
        <x:v>914.50</x:v>
      </x:c>
      <x:c r="J39" s="62" t="n">
        <x:f>IF(H39=0,"No plan at start",I39/H39)</x:f>
        <x:v>2</x:v>
      </x:c>
      <x:c r="K39" s="60" t="n">
        <x:f>MAX(H39-I39, 0)</x:f>
        <x:v>0</x:v>
      </x:c>
      <x:c r="L39" s="60" t="n">
        <x:v>0</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K325</x:t>
        </x:is>
      </x:c>
      <x:c r="C40" s="46" t="inlineStr">
        <x:is>
          <x:t>Dziura, Slawomir</x:t>
        </x:is>
      </x:c>
      <x:c r="D40" s="45" t="n">
        <x:v>0</x:v>
      </x:c>
      <x:c r="E40" s="19" t="n">
        <x:v>44.75</x:v>
      </x:c>
      <x:c r="F40" s="19" t="n">
        <x:f>MAX(D40-E40, 0)</x:f>
        <x:v>1</x:v>
      </x:c>
      <x:c r="G40" s="47" t="n">
        <x:f>IF(D40=0,0,ABS(E40/D40))</x:f>
        <x:v>0.5</x:v>
      </x:c>
      <x:c r="H40" s="52"/>
      <x:c r="I40" s="50"/>
      <x:c r="J40" s="50"/>
      <x:c r="K40" s="51"/>
      <x:c r="L40" s="19" t="n">
        <x:v>0</x:v>
      </x:c>
      <x:c r="M40" s="56"/>
      <x:c r="N40" s="50"/>
      <x:c r="O40" s="70"/>
      <x:c r="P40" s="29"/>
      <x:c r="Q40" s="30"/>
      <x:c r="R40" s="31"/>
      <x:c r="S40" s="31"/>
    </x:row>
    <x:row r="41" spans="1:19" s="7" customFormat="1" outlineLevel="1" x14ac:dyDescent="0.2">
      <x:c r="A41" s="5"/>
      <x:c r="B41" s="58" t="inlineStr">
        <x:v>49</x:v>
        <x:is>
          <x:t>Total K325</x:t>
        </x:is>
      </x:c>
      <x:c r="C41" s="59"/>
      <x:c r="D41" s="58" t="n">
        <x:v>0</x:v>
      </x:c>
      <x:c r="E41" s="60" t="n">
        <x:v>44.75</x:v>
      </x:c>
      <x:c r="F41" s="60" t="n">
        <x:f>MAX(D41-E41, 0)</x:f>
        <x:v>1</x:v>
      </x:c>
      <x:c r="G41" s="61" t="n">
        <x:f>IF(D41=0,0,ABS(E41/D41))</x:f>
        <x:v>0.5</x:v>
      </x:c>
      <x:c r="H41" s="58" t="n">
        <x:v>0</x:v>
      </x:c>
      <x:c r="I41" s="60" t="n">
        <x:v>359.00</x:v>
      </x:c>
      <x:c r="J41" s="62" t="n">
        <x:f>IF(H41=0,"No plan at start",I41/H41)</x:f>
        <x:v>2</x:v>
      </x:c>
      <x:c r="K41" s="60" t="n">
        <x:f>MAX(H41-I41, 0)</x:f>
        <x:v>0</x:v>
      </x:c>
      <x:c r="L41" s="60" t="n">
        <x:v>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N386</x:t>
        </x:is>
      </x:c>
      <x:c r="C42" s="46" t="inlineStr">
        <x:is>
          <x:t>Zbroja, Adam</x:t>
        </x:is>
      </x:c>
      <x:c r="D42" s="45" t="n">
        <x:v>9.6</x:v>
      </x:c>
      <x:c r="E42" s="19" t="n">
        <x:v>0</x:v>
      </x:c>
      <x:c r="F42" s="19" t="n">
        <x:f>MAX(D42-E42, 0)</x:f>
        <x:v>1</x:v>
      </x:c>
      <x:c r="G42" s="47" t="n">
        <x:f>IF(D42=0,0,ABS(E42/D42))</x:f>
        <x:v>0.5</x:v>
      </x:c>
      <x:c r="H42" s="52"/>
      <x:c r="I42" s="50"/>
      <x:c r="J42" s="50"/>
      <x:c r="K42" s="51"/>
      <x:c r="L42" s="19" t="n">
        <x:v>32</x:v>
      </x:c>
      <x:c r="M42" s="56"/>
      <x:c r="N42" s="50"/>
      <x:c r="O42" s="70"/>
      <x:c r="P42" s="29"/>
      <x:c r="Q42" s="30"/>
      <x:c r="R42" s="31"/>
      <x:c r="S42" s="31"/>
    </x:row>
    <x:row r="43" spans="1:19" s="7" customFormat="1" outlineLevel="1" x14ac:dyDescent="0.2">
      <x:c r="A43" s="5"/>
      <x:c r="B43" s="58" t="inlineStr">
        <x:v>49</x:v>
        <x:is>
          <x:t>Total N386</x:t>
        </x:is>
      </x:c>
      <x:c r="C43" s="59"/>
      <x:c r="D43" s="58" t="n">
        <x:v>9.6</x:v>
      </x:c>
      <x:c r="E43" s="60" t="n">
        <x:v>0</x:v>
      </x:c>
      <x:c r="F43" s="60" t="n">
        <x:f>MAX(D43-E43, 0)</x:f>
        <x:v>1</x:v>
      </x:c>
      <x:c r="G43" s="61" t="n">
        <x:f>IF(D43=0,0,ABS(E43/D43))</x:f>
        <x:v>0.5</x:v>
      </x:c>
      <x:c r="H43" s="58" t="n">
        <x:v>0</x:v>
      </x:c>
      <x:c r="I43" s="60" t="n">
        <x:v>8</x:v>
      </x:c>
      <x:c r="J43" s="62" t="n">
        <x:f>IF(H43=0,"No plan at start",I43/H43)</x:f>
        <x:v>2</x:v>
      </x:c>
      <x:c r="K43" s="60" t="n">
        <x:f>MAX(H43-I43, 0)</x:f>
        <x:v>0</x:v>
      </x:c>
      <x:c r="L43" s="60" t="n">
        <x:v>32</x:v>
      </x:c>
      <x:c r="M43" s="60" t="n">
        <x:f>I43+L43</x:f>
        <x:v>3</x:v>
      </x:c>
      <x:c r="N43" s="60" t="n">
        <x:f>M43-H43</x:f>
        <x:v>2</x:v>
      </x:c>
      <x:c r="O43" s="61" t="n">
        <x:f>IF(H43=0,"No plan at start",M43/H43)</x:f>
        <x:v>3</x:v>
      </x:c>
      <x:c r="P43" s="29"/>
      <x:c r="Q43" s="30"/>
      <x:c r="R43" s="31"/>
      <x:c r="S43" s="31"/>
    </x:row>
    <x:row r="44" spans="1:19" s="7" customFormat="1" hidden="1" outlineLevel="2" collapsed="1" x14ac:dyDescent="0.2">
      <x:c r="A44" s="5"/>
      <x:c r="B44" s="45" t="inlineStr">
        <x:is>
          <x:t>N694</x:t>
        </x:is>
      </x:c>
      <x:c r="C44" s="46" t="inlineStr">
        <x:is>
          <x:t>Pieszko, Pawel</x:t>
        </x:is>
      </x:c>
      <x:c r="D44" s="45" t="n">
        <x:v>30.45</x:v>
      </x:c>
      <x:c r="E44" s="19" t="n">
        <x:v>0</x:v>
      </x:c>
      <x:c r="F44" s="19" t="n">
        <x:f>MAX(D44-E44, 0)</x:f>
        <x:v>1</x:v>
      </x:c>
      <x:c r="G44" s="47" t="n">
        <x:f>IF(D44=0,0,ABS(E44/D44))</x:f>
        <x:v>0.5</x:v>
      </x:c>
      <x:c r="H44" s="52"/>
      <x:c r="I44" s="50"/>
      <x:c r="J44" s="50"/>
      <x:c r="K44" s="51"/>
      <x:c r="L44" s="19" t="n">
        <x:v>14.5</x:v>
      </x:c>
      <x:c r="M44" s="56"/>
      <x:c r="N44" s="50"/>
      <x:c r="O44" s="70"/>
      <x:c r="P44" s="29"/>
      <x:c r="Q44" s="30"/>
      <x:c r="R44" s="31"/>
      <x:c r="S44" s="31"/>
    </x:row>
    <x:row r="45" spans="1:19" s="7" customFormat="1" hidden="1" outlineLevel="2" collapsed="1" x14ac:dyDescent="0.2">
      <x:c r="A45" s="5"/>
      <x:c r="B45" s="45" t="inlineStr">
        <x:is>
          <x:t>N694</x:t>
        </x:is>
      </x:c>
      <x:c r="C45" s="46" t="inlineStr">
        <x:is>
          <x:t>Zbroja, Adam</x:t>
        </x:is>
      </x:c>
      <x:c r="D45" s="45" t="n">
        <x:v>30.45</x:v>
      </x:c>
      <x:c r="E45" s="19" t="n">
        <x:v>0</x:v>
      </x:c>
      <x:c r="F45" s="19" t="n">
        <x:f>MAX(D45-E45, 0)</x:f>
        <x:v>1</x:v>
      </x:c>
      <x:c r="G45" s="47" t="n">
        <x:f>IF(D45=0,0,ABS(E45/D45))</x:f>
        <x:v>0.5</x:v>
      </x:c>
      <x:c r="H45" s="72"/>
      <x:c r="I45" s="73"/>
      <x:c r="J45" s="73"/>
      <x:c r="K45" s="74"/>
      <x:c r="L45" s="19" t="n">
        <x:v>105.62</x:v>
      </x:c>
      <x:c r="M45" s="57"/>
      <x:c r="N45" s="54"/>
      <x:c r="O45" s="71"/>
      <x:c r="P45" s="29"/>
      <x:c r="Q45" s="30"/>
      <x:c r="R45" s="31"/>
      <x:c r="S45" s="31"/>
    </x:row>
    <x:row r="46" spans="1:19" s="7" customFormat="1" outlineLevel="1" x14ac:dyDescent="0.2">
      <x:c r="A46" s="5"/>
      <x:c r="B46" s="58" t="inlineStr">
        <x:v>49</x:v>
        <x:is>
          <x:t>Total N694</x:t>
        </x:is>
      </x:c>
      <x:c r="C46" s="59"/>
      <x:c r="D46" s="58" t="n">
        <x:v>60.90</x:v>
      </x:c>
      <x:c r="E46" s="60" t="n">
        <x:v>0</x:v>
      </x:c>
      <x:c r="F46" s="60" t="n">
        <x:f>MAX(D46-E46, 0)</x:f>
        <x:v>1</x:v>
      </x:c>
      <x:c r="G46" s="61" t="n">
        <x:f>IF(D46=0,0,ABS(E46/D46))</x:f>
        <x:v>0.5</x:v>
      </x:c>
      <x:c r="H46" s="58" t="n">
        <x:v>0</x:v>
      </x:c>
      <x:c r="I46" s="60" t="n">
        <x:v>20.50</x:v>
      </x:c>
      <x:c r="J46" s="62" t="n">
        <x:f>IF(H46=0,"No plan at start",I46/H46)</x:f>
        <x:v>2</x:v>
      </x:c>
      <x:c r="K46" s="60" t="n">
        <x:f>MAX(H46-I46, 0)</x:f>
        <x:v>0</x:v>
      </x:c>
      <x:c r="L46" s="60" t="n">
        <x:v>120.12</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N707</x:t>
        </x:is>
      </x:c>
      <x:c r="C47" s="46" t="inlineStr">
        <x:is>
          <x:t>Grzybowski, Piotr</x:t>
        </x:is>
      </x:c>
      <x:c r="D47" s="45" t="n">
        <x:v>0</x:v>
      </x:c>
      <x:c r="E47" s="19" t="n">
        <x:v>1</x:v>
      </x:c>
      <x:c r="F47" s="19" t="n">
        <x:f>MAX(D47-E47, 0)</x:f>
        <x:v>1</x:v>
      </x:c>
      <x:c r="G47" s="47" t="n">
        <x:f>IF(D47=0,0,ABS(E47/D47))</x:f>
        <x:v>0.5</x:v>
      </x:c>
      <x:c r="H47" s="52"/>
      <x:c r="I47" s="50"/>
      <x:c r="J47" s="50"/>
      <x:c r="K47" s="51"/>
      <x:c r="L47" s="19" t="n">
        <x:v>0</x:v>
      </x:c>
      <x:c r="M47" s="56"/>
      <x:c r="N47" s="50"/>
      <x:c r="O47" s="70"/>
      <x:c r="P47" s="29"/>
      <x:c r="Q47" s="30"/>
      <x:c r="R47" s="31"/>
      <x:c r="S47" s="31"/>
    </x:row>
    <x:row r="48" spans="1:19" s="7" customFormat="1" hidden="1" outlineLevel="2" collapsed="1" x14ac:dyDescent="0.2">
      <x:c r="A48" s="5"/>
      <x:c r="B48" s="45" t="inlineStr">
        <x:is>
          <x:t>N707</x:t>
        </x:is>
      </x:c>
      <x:c r="C48" s="46" t="inlineStr">
        <x:is>
          <x:t>Litwinczuk, Robert</x:t>
        </x:is>
      </x:c>
      <x:c r="D48" s="45" t="n">
        <x:v>0</x:v>
      </x:c>
      <x:c r="E48" s="19" t="n">
        <x:v>4</x:v>
      </x:c>
      <x:c r="F48" s="19" t="n">
        <x:f>MAX(D48-E48, 0)</x:f>
        <x:v>1</x:v>
      </x:c>
      <x:c r="G48" s="47" t="n">
        <x:f>IF(D48=0,0,ABS(E48/D48))</x:f>
        <x:v>0.5</x:v>
      </x:c>
      <x:c r="H48" s="72"/>
      <x:c r="I48" s="73"/>
      <x:c r="J48" s="73"/>
      <x:c r="K48" s="74"/>
      <x:c r="L48" s="19" t="n">
        <x:v>0</x:v>
      </x:c>
      <x:c r="M48" s="57"/>
      <x:c r="N48" s="54"/>
      <x:c r="O48" s="71"/>
      <x:c r="P48" s="29"/>
      <x:c r="Q48" s="30"/>
      <x:c r="R48" s="31"/>
      <x:c r="S48" s="31"/>
    </x:row>
    <x:row r="49" spans="1:19" s="7" customFormat="1" ht="13.5" outlineLevel="1" thickBot="1" x14ac:dyDescent="0.25">
      <x:c r="A49" s="5"/>
      <x:c r="B49" s="63" t="inlineStr">
        <x:v>49</x:v>
        <x:is>
          <x:t>Total N707</x:t>
        </x:is>
      </x:c>
      <x:c r="C49" s="64"/>
      <x:c r="D49" s="63" t="n">
        <x:v>0</x:v>
      </x:c>
      <x:c r="E49" s="65" t="n">
        <x:v>5</x:v>
      </x:c>
      <x:c r="F49" s="65" t="n">
        <x:f>MAX(D49-E49, 0)</x:f>
        <x:v>0</x:v>
      </x:c>
      <x:c r="G49" s="66" t="n">
        <x:f>IF(D49=0,0,ABS(E49/D49))</x:f>
        <x:v>0</x:v>
      </x:c>
      <x:c r="H49" s="63" t="n">
        <x:v>0</x:v>
      </x:c>
      <x:c r="I49" s="65" t="n">
        <x:v>56.25</x:v>
      </x:c>
      <x:c r="J49" s="67" t="n">
        <x:f>IF(H49=0,"No plan at start",I49/H49)</x:f>
        <x:v>0.5</x:v>
      </x:c>
      <x:c r="K49" s="65" t="n">
        <x:f>MAX(H49-I49, 0)</x:f>
        <x:v>1</x:v>
      </x:c>
      <x:c r="L49" s="65" t="n">
        <x:v>0</x:v>
      </x:c>
      <x:c r="M49" s="65" t="n">
        <x:f>I49+L49</x:f>
        <x:v>6</x:v>
      </x:c>
      <x:c r="N49" s="65" t="n">
        <x:f>M49-H49</x:f>
        <x:v>4</x:v>
      </x:c>
      <x:c r="O49" s="66" t="n">
        <x:f>IF(H49=0,"No plan at start",M49/H49)</x:f>
        <x:v>3</x:v>
      </x:c>
      <x:c r="P49" s="29"/>
      <x:c r="Q49" s="30"/>
      <x:c r="R49" s="31"/>
      <x:c r="S49" s="31"/>
    </x:row>
    <x:row r="50" x14ac:dyDescent="0.2"/>
    <x:row r="51" x14ac:dyDescent="0.2"/>
    <x:row r="52" spans="1:19" x14ac:dyDescent="0.2">
      <x:c r="B52" s="14" t="s">
        <x:v>30</x:v>
      </x:c>
      <x:c r="C52" s="15"/>
      <x:c r="D52" s="15"/>
      <x:c r="E52" s="15"/>
      <x:c r="F52" s="16"/>
      <x:c r="G52" s="16"/>
      <x:c r="H52" s="17"/>
      <x:c r="I52" s="7"/>
      <x:c r="J52" s="7"/>
      <x:c r="K52" s="18"/>
      <x:c r="L52" s="7"/>
      <x:c r="M52" s="25"/>
      <x:c r="N52" s="7"/>
      <x:c r="O52" s="7"/>
    </x:row>
    <x:row r="53" spans="1:19" ht="13.5" thickBot="1" x14ac:dyDescent="0.25">
      <x:c r="B53" s="7"/>
      <x:c r="C53" s="7"/>
      <x:c r="D53" s="7"/>
      <x:c r="E53" s="7"/>
      <x:c r="F53" s="7"/>
      <x:c r="G53" s="7"/>
      <x:c r="H53" s="7"/>
      <x:c r="I53" s="7"/>
      <x:c r="J53" s="7"/>
      <x:c r="K53" s="7"/>
      <x:c r="L53" s="7"/>
      <x:c r="M53" s="7"/>
      <x:c r="N53" s="7"/>
      <x:c r="O53" s="7"/>
    </x:row>
    <x:row r="54" spans="1:19" x14ac:dyDescent="0.2">
      <x:c r="B54" s="48"/>
      <x:c r="C54" s="49"/>
      <x:c r="D54" s="77" t="s">
        <x:v>39</x:v>
      </x:c>
      <x:c r="E54" s="78"/>
      <x:c r="F54" s="78"/>
      <x:c r="G54" s="79"/>
      <x:c r="H54" s="77" t="s">
        <x:v>40</x:v>
      </x:c>
      <x:c r="I54" s="78"/>
      <x:c r="J54" s="78"/>
      <x:c r="K54" s="78"/>
      <x:c r="L54" s="78"/>
      <x:c r="M54" s="78"/>
      <x:c r="N54" s="78"/>
      <x:c r="O54" s="79"/>
    </x:row>
    <x:row r="55" spans="1:19" x14ac:dyDescent="0.2">
      <x:c r="B55" s="68"/>
      <x:c r="C55" s="69"/>
      <x:c r="D55" s="36" t="s">
        <x:v>2</x:v>
      </x:c>
      <x:c r="E55" s="38" t="s">
        <x:v>3</x:v>
      </x:c>
      <x:c r="F55" s="38" t="s">
        <x:v>44</x:v>
      </x:c>
      <x:c r="G55" s="37" t="s">
        <x:v>41</x:v>
      </x:c>
      <x:c r="H55" s="36" t="s">
        <x:v>20</x:v>
      </x:c>
      <x:c r="I55" s="38" t="s">
        <x:v>34</x:v>
      </x:c>
      <x:c r="J55" s="39" t="s">
        <x:v>35</x:v>
      </x:c>
      <x:c r="K55" s="39" t="s">
        <x:v>36</x:v>
      </x:c>
      <x:c r="L55" s="38" t="s">
        <x:v>19</x:v>
      </x:c>
      <x:c r="M55" s="38" t="s">
        <x:v>37</x:v>
      </x:c>
      <x:c r="N55" s="38" t="s">
        <x:v>22</x:v>
      </x:c>
      <x:c r="O55" s="37" t="s">
        <x:v>23</x:v>
      </x:c>
    </x:row>
    <x:row r="56" spans="1:19" ht="76.5" x14ac:dyDescent="0.2">
      <x:c r="B56" s="40" t="s">
        <x:v>14</x:v>
      </x:c>
      <x:c r="C56" s="41" t="s">
        <x:v>28</x:v>
      </x:c>
      <x:c r="D56" s="40" t="s">
        <x:v>45</x:v>
      </x:c>
      <x:c r="E56" s="42" t="s">
        <x:v>15</x:v>
      </x:c>
      <x:c r="F56" s="42" t="s">
        <x:v>42</x:v>
      </x:c>
      <x:c r="G56" s="41" t="s">
        <x:v>43</x:v>
      </x:c>
      <x:c r="H56" s="40" t="s">
        <x:v>46</x:v>
      </x:c>
      <x:c r="I56" s="42" t="s">
        <x:v>31</x:v>
      </x:c>
      <x:c r="J56" s="43" t="s">
        <x:v>47</x:v>
      </x:c>
      <x:c r="K56" s="43" t="s">
        <x:v>17</x:v>
      </x:c>
      <x:c r="L56" s="42" t="s">
        <x:v>48</x:v>
      </x:c>
      <x:c r="M56" s="42" t="s">
        <x:v>32</x:v>
      </x:c>
      <x:c r="N56" s="42" t="s">
        <x:v>33</x:v>
      </x:c>
      <x:c r="O56" s="41" t="s">
        <x:v>24</x:v>
      </x:c>
    </x:row>
    <x:row r="57" spans="1:19" hidden="1" outlineLevel="2" collapsed="1" x14ac:dyDescent="0.2">
      <x:c r="B57" s="45" t="inlineStr">
        <x:is>
          <x:t>E872</x:t>
        </x:is>
      </x:c>
      <x:c r="C57" s="46" t="inlineStr">
        <x:is>
          <x:t>Dziura, Slawomir</x:t>
        </x:is>
      </x:c>
      <x:c r="D57" s="45" t="n">
        <x:v>0</x:v>
      </x:c>
      <x:c r="E57" s="19" t="n">
        <x:v>97.5</x:v>
      </x:c>
      <x:c r="F57" s="19" t="n">
        <x:f>MAX(D57-E57, 0)</x:f>
        <x:v>1</x:v>
      </x:c>
      <x:c r="G57" s="47" t="n">
        <x:f>IF(D57=0,0,ABS(E57/D57))</x:f>
        <x:v>0.5</x:v>
      </x:c>
      <x:c r="H57" s="52"/>
      <x:c r="I57" s="50"/>
      <x:c r="J57" s="50"/>
      <x:c r="K57" s="51"/>
      <x:c r="L57" s="19" t="n">
        <x:v>0</x:v>
      </x:c>
      <x:c r="M57" s="50"/>
      <x:c r="N57" s="50"/>
      <x:c r="O57" s="70"/>
    </x:row>
    <x:row r="58" spans="1:19" hidden="1" outlineLevel="2" collapsed="1" x14ac:dyDescent="0.2">
      <x:c r="B58" s="45" t="inlineStr">
        <x:is>
          <x:t>E872</x:t>
        </x:is>
      </x:c>
      <x:c r="C58" s="46" t="inlineStr">
        <x:is>
          <x:t>Litwinczuk, Robert</x:t>
        </x:is>
      </x:c>
      <x:c r="D58" s="45" t="n">
        <x:v>0</x:v>
      </x:c>
      <x:c r="E58" s="19" t="n">
        <x:v>178.88</x:v>
      </x:c>
      <x:c r="F58" s="19" t="n">
        <x:f>MAX(D58-E58, 0)</x:f>
        <x:v>1</x:v>
      </x:c>
      <x:c r="G58" s="47" t="n">
        <x:f>IF(D58=0,0,ABS(E58/D58))</x:f>
        <x:v>0.5</x:v>
      </x:c>
      <x:c r="H58" s="72"/>
      <x:c r="I58" s="73"/>
      <x:c r="J58" s="73"/>
      <x:c r="K58" s="74"/>
      <x:c r="L58" s="19" t="n">
        <x:v>9838.40</x:v>
      </x:c>
      <x:c r="M58" s="73"/>
      <x:c r="N58" s="73"/>
      <x:c r="O58" s="76"/>
    </x:row>
    <x:row r="59" spans="1:19" hidden="1" outlineLevel="2" collapsed="1" x14ac:dyDescent="0.2">
      <x:c r="B59" s="45" t="inlineStr">
        <x:is>
          <x:t>E872</x:t>
        </x:is>
      </x:c>
      <x:c r="C59" s="46" t="inlineStr">
        <x:is>
          <x:t>Pieszko, Pawel</x:t>
        </x:is>
      </x:c>
      <x:c r="D59" s="45" t="n">
        <x:v>0</x:v>
      </x:c>
      <x:c r="E59" s="19" t="n">
        <x:v>1207.44</x:v>
      </x:c>
      <x:c r="F59" s="19" t="n">
        <x:f>MAX(D59-E59, 0)</x:f>
        <x:v>1</x:v>
      </x:c>
      <x:c r="G59" s="47" t="n">
        <x:f>IF(D59=0,0,ABS(E59/D59))</x:f>
        <x:v>0.5</x:v>
      </x:c>
      <x:c r="H59" s="72"/>
      <x:c r="I59" s="73"/>
      <x:c r="J59" s="73"/>
      <x:c r="K59" s="74"/>
      <x:c r="L59" s="19" t="n">
        <x:v>55506.464</x:v>
      </x:c>
      <x:c r="M59" s="73"/>
      <x:c r="N59" s="73"/>
      <x:c r="O59" s="76"/>
    </x:row>
    <x:row r="60" spans="1:19" hidden="1" outlineLevel="2" collapsed="1" x14ac:dyDescent="0.2">
      <x:c r="B60" s="45" t="inlineStr">
        <x:is>
          <x:t>E872</x:t>
        </x:is>
      </x:c>
      <x:c r="C60" s="46" t="inlineStr">
        <x:is>
          <x:t>Zbroja, Adam</x:t>
        </x:is>
      </x:c>
      <x:c r="D60" s="45" t="n">
        <x:v>0</x:v>
      </x:c>
      <x:c r="E60" s="19" t="n">
        <x:v>26</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E872</x:t>
        </x:is>
      </x:c>
      <x:c r="C61" s="59"/>
      <x:c r="D61" s="58" t="n">
        <x:v>0</x:v>
      </x:c>
      <x:c r="E61" s="60" t="n">
        <x:v>1509.82</x:v>
      </x:c>
      <x:c r="F61" s="60" t="n">
        <x:f>MAX(D61-E61, 0)</x:f>
        <x:v>1</x:v>
      </x:c>
      <x:c r="G61" s="61" t="n">
        <x:f>IF(D61=0,0,ABS(E61/D61))</x:f>
        <x:v>0.5</x:v>
      </x:c>
      <x:c r="H61" s="58" t="n">
        <x:v>47323.328</x:v>
      </x:c>
      <x:c r="I61" s="60" t="n">
        <x:v>122547.971</x:v>
      </x:c>
      <x:c r="J61" s="62" t="n">
        <x:f>IF(H61=0,"No plan at start",I61/H61)</x:f>
        <x:v>2</x:v>
      </x:c>
      <x:c r="K61" s="60" t="n">
        <x:f>MAX(H61-I61, 0)</x:f>
        <x:v>0</x:v>
      </x:c>
      <x:c r="L61" s="60" t="n">
        <x:v>65344.864</x:v>
      </x:c>
      <x:c r="M61" s="60" t="n">
        <x:f>I61+L61</x:f>
        <x:v>3</x:v>
      </x:c>
      <x:c r="N61" s="60" t="n">
        <x:f>M61-H61</x:f>
        <x:v>2</x:v>
      </x:c>
      <x:c r="O61" s="61" t="n">
        <x:f>IF(H61=0,"No plan at start",M61/H61)</x:f>
        <x:v>3</x:v>
      </x:c>
    </x:row>
    <x:row r="62" spans="1:19" hidden="1" outlineLevel="2" collapsed="1" x14ac:dyDescent="0.2">
      <x:c r="B62" s="45" t="inlineStr">
        <x:is>
          <x:t>F808</x:t>
        </x:is>
      </x:c>
      <x:c r="C62" s="46" t="inlineStr">
        <x:is>
          <x:t>Pieszko, Pawel</x:t>
        </x:is>
      </x:c>
      <x:c r="D62" s="45" t="n">
        <x:v>1126.944</x:v>
      </x:c>
      <x:c r="E62" s="19" t="n">
        <x:v>313.04</x:v>
      </x:c>
      <x:c r="F62" s="19" t="n">
        <x:f>MAX(D62-E62, 0)</x:f>
        <x:v>1</x:v>
      </x:c>
      <x:c r="G62" s="47" t="n">
        <x:f>IF(D62=0,0,ABS(E62/D62))</x:f>
        <x:v>0.5</x:v>
      </x:c>
      <x:c r="H62" s="52"/>
      <x:c r="I62" s="50"/>
      <x:c r="J62" s="50"/>
      <x:c r="K62" s="51"/>
      <x:c r="L62" s="19" t="n">
        <x:v>5742.048</x:v>
      </x:c>
      <x:c r="M62" s="50"/>
      <x:c r="N62" s="50"/>
      <x:c r="O62" s="70"/>
    </x:row>
    <x:row r="63" spans="1:19" outlineLevel="1" x14ac:dyDescent="0.2">
      <x:c r="B63" s="58" t="inlineStr">
        <x:v>49</x:v>
        <x:is>
          <x:t>Total F808</x:t>
        </x:is>
      </x:c>
      <x:c r="C63" s="59"/>
      <x:c r="D63" s="58" t="n">
        <x:v>1126.944</x:v>
      </x:c>
      <x:c r="E63" s="60" t="n">
        <x:v>313.04</x:v>
      </x:c>
      <x:c r="F63" s="60" t="n">
        <x:f>MAX(D63-E63, 0)</x:f>
        <x:v>1</x:v>
      </x:c>
      <x:c r="G63" s="61" t="n">
        <x:f>IF(D63=0,0,ABS(E63/D63))</x:f>
        <x:v>0.5</x:v>
      </x:c>
      <x:c r="H63" s="58" t="n">
        <x:v>0</x:v>
      </x:c>
      <x:c r="I63" s="60" t="n">
        <x:v>29140.67</x:v>
      </x:c>
      <x:c r="J63" s="62" t="n">
        <x:f>IF(H63=0,"No plan at start",I63/H63)</x:f>
        <x:v>2</x:v>
      </x:c>
      <x:c r="K63" s="60" t="n">
        <x:f>MAX(H63-I63, 0)</x:f>
        <x:v>0</x:v>
      </x:c>
      <x:c r="L63" s="60" t="n">
        <x:v>5742.048</x:v>
      </x:c>
      <x:c r="M63" s="60" t="n">
        <x:f>I63+L63</x:f>
        <x:v>3</x:v>
      </x:c>
      <x:c r="N63" s="60" t="n">
        <x:f>M63-H63</x:f>
        <x:v>2</x:v>
      </x:c>
      <x:c r="O63" s="61" t="n">
        <x:f>IF(H63=0,"No plan at start",M63/H63)</x:f>
        <x:v>3</x:v>
      </x:c>
    </x:row>
    <x:row r="64" spans="1:19" hidden="1" outlineLevel="2" collapsed="1" x14ac:dyDescent="0.2">
      <x:c r="B64" s="45" t="inlineStr">
        <x:is>
          <x:t>H808</x:t>
        </x:is>
      </x:c>
      <x:c r="C64" s="46" t="inlineStr">
        <x:is>
          <x:t>Druc, Karol</x:t>
        </x:is>
      </x:c>
      <x:c r="D64" s="45" t="n">
        <x:v>1156.68</x:v>
      </x:c>
      <x:c r="E64" s="19" t="n">
        <x:v>706.86</x:v>
      </x:c>
      <x:c r="F64" s="19" t="n">
        <x:f>MAX(D64-E64, 0)</x:f>
        <x:v>1</x:v>
      </x:c>
      <x:c r="G64" s="47" t="n">
        <x:f>IF(D64=0,0,ABS(E64/D64))</x:f>
        <x:v>0.5</x:v>
      </x:c>
      <x:c r="H64" s="52"/>
      <x:c r="I64" s="50"/>
      <x:c r="J64" s="50"/>
      <x:c r="K64" s="51"/>
      <x:c r="L64" s="19" t="n">
        <x:v>1013.472</x:v>
      </x:c>
      <x:c r="M64" s="50"/>
      <x:c r="N64" s="50"/>
      <x:c r="O64" s="70"/>
    </x:row>
    <x:row r="65" spans="1:19" hidden="1" outlineLevel="2" collapsed="1" x14ac:dyDescent="0.2">
      <x:c r="B65" s="45" t="inlineStr">
        <x:is>
          <x:t>H808</x:t>
        </x:is>
      </x:c>
      <x:c r="C65" s="46" t="inlineStr">
        <x:is>
          <x:t>Dziura, Slawomir</x:t>
        </x:is>
      </x:c>
      <x:c r="D65" s="45" t="n">
        <x:v>0</x:v>
      </x:c>
      <x:c r="E65" s="19" t="n">
        <x:v>26</x:v>
      </x:c>
      <x:c r="F65" s="19" t="n">
        <x:f>MAX(D65-E65, 0)</x:f>
        <x:v>1</x:v>
      </x:c>
      <x:c r="G65" s="47" t="n">
        <x:f>IF(D65=0,0,ABS(E65/D65))</x:f>
        <x:v>0.5</x:v>
      </x:c>
      <x:c r="H65" s="72"/>
      <x:c r="I65" s="73"/>
      <x:c r="J65" s="73"/>
      <x:c r="K65" s="74"/>
      <x:c r="L65" s="19" t="n">
        <x:v>0</x:v>
      </x:c>
      <x:c r="M65" s="73"/>
      <x:c r="N65" s="73"/>
      <x:c r="O65" s="76"/>
    </x:row>
    <x:row r="66" spans="1:19" hidden="1" outlineLevel="2" collapsed="1" x14ac:dyDescent="0.2">
      <x:c r="B66" s="45" t="inlineStr">
        <x:is>
          <x:t>H808</x:t>
        </x:is>
      </x:c>
      <x:c r="C66" s="46" t="inlineStr">
        <x:is>
          <x:t>Grzybowski, Piotr</x:t>
        </x:is>
      </x:c>
      <x:c r="D66" s="45" t="n">
        <x:v>0</x:v>
      </x:c>
      <x:c r="E66" s="19" t="n">
        <x:v>975</x:v>
      </x:c>
      <x:c r="F66" s="19" t="n">
        <x:f>MAX(D66-E66, 0)</x:f>
        <x:v>1</x:v>
      </x:c>
      <x:c r="G66" s="47" t="n">
        <x:f>IF(D66=0,0,ABS(E66/D66))</x:f>
        <x:v>0.5</x:v>
      </x:c>
      <x:c r="H66" s="72"/>
      <x:c r="I66" s="73"/>
      <x:c r="J66" s="73"/>
      <x:c r="K66" s="74"/>
      <x:c r="L66" s="19" t="n">
        <x:v>2870.4</x:v>
      </x:c>
      <x:c r="M66" s="73"/>
      <x:c r="N66" s="73"/>
      <x:c r="O66" s="76"/>
    </x:row>
    <x:row r="67" spans="1:19" hidden="1" outlineLevel="2" collapsed="1" x14ac:dyDescent="0.2">
      <x:c r="B67" s="45" t="inlineStr">
        <x:is>
          <x:t>H808</x:t>
        </x:is>
      </x:c>
      <x:c r="C67" s="46" t="inlineStr">
        <x:is>
          <x:t>Litwinczuk, Robert</x:t>
        </x:is>
      </x:c>
      <x:c r="D67" s="45" t="n">
        <x:v>0</x:v>
      </x:c>
      <x:c r="E67" s="19" t="n">
        <x:v>1654.64</x:v>
      </x:c>
      <x:c r="F67" s="19" t="n">
        <x:f>MAX(D67-E67, 0)</x:f>
        <x:v>1</x:v>
      </x:c>
      <x:c r="G67" s="47" t="n">
        <x:f>IF(D67=0,0,ABS(E67/D67))</x:f>
        <x:v>0.5</x:v>
      </x:c>
      <x:c r="H67" s="72"/>
      <x:c r="I67" s="73"/>
      <x:c r="J67" s="73"/>
      <x:c r="K67" s="74"/>
      <x:c r="L67" s="19" t="n">
        <x:v>4937.088</x:v>
      </x:c>
      <x:c r="M67" s="73"/>
      <x:c r="N67" s="73"/>
      <x:c r="O67" s="76"/>
    </x:row>
    <x:row r="68" spans="1:19" hidden="1" outlineLevel="2" collapsed="1" x14ac:dyDescent="0.2">
      <x:c r="B68" s="45" t="inlineStr">
        <x:is>
          <x:t>H808</x:t>
        </x:is>
      </x:c>
      <x:c r="C68" s="46" t="inlineStr">
        <x:is>
          <x:t>Pieszko, Pawel</x:t>
        </x:is>
      </x:c>
      <x:c r="D68" s="45" t="n">
        <x:v>1502.592</x:v>
      </x:c>
      <x:c r="E68" s="19" t="n">
        <x:v>749.06</x:v>
      </x:c>
      <x:c r="F68" s="19" t="n">
        <x:f>MAX(D68-E68, 0)</x:f>
        <x:v>1</x:v>
      </x:c>
      <x:c r="G68" s="47" t="n">
        <x:f>IF(D68=0,0,ABS(E68/D68))</x:f>
        <x:v>0.5</x:v>
      </x:c>
      <x:c r="H68" s="53"/>
      <x:c r="I68" s="54"/>
      <x:c r="J68" s="54"/>
      <x:c r="K68" s="55"/>
      <x:c r="L68" s="19" t="n">
        <x:v>14542.944</x:v>
      </x:c>
      <x:c r="M68" s="54"/>
      <x:c r="N68" s="54"/>
      <x:c r="O68" s="71"/>
    </x:row>
    <x:row r="69" spans="1:19" outlineLevel="1" x14ac:dyDescent="0.2">
      <x:c r="B69" s="58" t="inlineStr">
        <x:v>49</x:v>
        <x:is>
          <x:t>Total H808</x:t>
        </x:is>
      </x:c>
      <x:c r="C69" s="59"/>
      <x:c r="D69" s="58" t="n">
        <x:v>2659.272</x:v>
      </x:c>
      <x:c r="E69" s="60" t="n">
        <x:v>4111.56</x:v>
      </x:c>
      <x:c r="F69" s="60" t="n">
        <x:f>MAX(D69-E69, 0)</x:f>
        <x:v>1</x:v>
      </x:c>
      <x:c r="G69" s="61" t="n">
        <x:f>IF(D69=0,0,ABS(E69/D69))</x:f>
        <x:v>0.5</x:v>
      </x:c>
      <x:c r="H69" s="58" t="n">
        <x:v>263110.016</x:v>
      </x:c>
      <x:c r="I69" s="60" t="n">
        <x:v>121910.785</x:v>
      </x:c>
      <x:c r="J69" s="62" t="n">
        <x:f>IF(H69=0,"No plan at start",I69/H69)</x:f>
        <x:v>2</x:v>
      </x:c>
      <x:c r="K69" s="60" t="n">
        <x:f>MAX(H69-I69, 0)</x:f>
        <x:v>0</x:v>
      </x:c>
      <x:c r="L69" s="60" t="n">
        <x:v>23363.904</x:v>
      </x:c>
      <x:c r="M69" s="60" t="n">
        <x:f>I69+L69</x:f>
        <x:v>3</x:v>
      </x:c>
      <x:c r="N69" s="60" t="n">
        <x:f>M69-H69</x:f>
        <x:v>2</x:v>
      </x:c>
      <x:c r="O69" s="61" t="n">
        <x:f>IF(H69=0,"No plan at start",M69/H69)</x:f>
        <x:v>3</x:v>
      </x:c>
    </x:row>
    <x:row r="70" spans="1:19" hidden="1" outlineLevel="2" collapsed="1" x14ac:dyDescent="0.2">
      <x:c r="B70" s="45" t="inlineStr">
        <x:is>
          <x:t>H919</x:t>
        </x:is>
      </x:c>
      <x:c r="C70" s="46" t="inlineStr">
        <x:is>
          <x:t>Dziura, Slawomir</x:t>
        </x:is>
      </x:c>
      <x:c r="D70" s="45" t="n">
        <x:v>0</x:v>
      </x:c>
      <x:c r="E70" s="19" t="n">
        <x:v>13</x:v>
      </x:c>
      <x:c r="F70" s="19" t="n">
        <x:f>MAX(D70-E70, 0)</x:f>
        <x:v>1</x:v>
      </x:c>
      <x:c r="G70" s="47" t="n">
        <x:f>IF(D70=0,0,ABS(E70/D70))</x:f>
        <x:v>0.5</x:v>
      </x:c>
      <x:c r="H70" s="52"/>
      <x:c r="I70" s="50"/>
      <x:c r="J70" s="50"/>
      <x:c r="K70" s="51"/>
      <x:c r="L70" s="19" t="n">
        <x:v>0</x:v>
      </x:c>
      <x:c r="M70" s="50"/>
      <x:c r="N70" s="50"/>
      <x:c r="O70" s="70"/>
    </x:row>
    <x:row r="71" spans="1:19" outlineLevel="1" x14ac:dyDescent="0.2">
      <x:c r="B71" s="58" t="inlineStr">
        <x:v>49</x:v>
        <x:is>
          <x:t>Total H919</x:t>
        </x:is>
      </x:c>
      <x:c r="C71" s="59"/>
      <x:c r="D71" s="58" t="n">
        <x:v>0</x:v>
      </x:c>
      <x:c r="E71" s="60" t="n">
        <x:v>13</x:v>
      </x:c>
      <x:c r="F71" s="60" t="n">
        <x:f>MAX(D71-E71, 0)</x:f>
        <x:v>1</x:v>
      </x:c>
      <x:c r="G71" s="61" t="n">
        <x:f>IF(D71=0,0,ABS(E71/D71))</x:f>
        <x:v>0.5</x:v>
      </x:c>
      <x:c r="H71" s="58" t="n">
        <x:v>6770.4</x:v>
      </x:c>
      <x:c r="I71" s="60" t="n">
        <x:v>4518.345</x:v>
      </x:c>
      <x:c r="J71" s="62" t="n">
        <x:f>IF(H71=0,"No plan at start",I71/H71)</x:f>
        <x:v>2</x:v>
      </x:c>
      <x:c r="K71" s="60" t="n">
        <x:f>MAX(H71-I71, 0)</x:f>
        <x:v>0</x:v>
      </x:c>
      <x:c r="L71" s="60" t="n">
        <x:v>0</x:v>
      </x:c>
      <x:c r="M71" s="60" t="n">
        <x:f>I71+L71</x:f>
        <x:v>3</x:v>
      </x:c>
      <x:c r="N71" s="60" t="n">
        <x:f>M71-H71</x:f>
        <x:v>2</x:v>
      </x:c>
      <x:c r="O71" s="61" t="n">
        <x:f>IF(H71=0,"No plan at start",M71/H71)</x:f>
        <x:v>3</x:v>
      </x:c>
    </x:row>
    <x:row r="72" spans="1:19" hidden="1" outlineLevel="2" collapsed="1" x14ac:dyDescent="0.2">
      <x:c r="B72" s="45" t="inlineStr">
        <x:is>
          <x:t>J500</x:t>
        </x:is>
      </x:c>
      <x:c r="C72" s="46" t="inlineStr">
        <x:is>
          <x:t>Dziura, Slawomir</x:t>
        </x:is>
      </x:c>
      <x:c r="D72" s="45" t="n">
        <x:v>0</x:v>
      </x:c>
      <x:c r="E72" s="19" t="n">
        <x:v>260.0</x:v>
      </x:c>
      <x:c r="F72" s="19" t="n">
        <x:f>MAX(D72-E72, 0)</x:f>
        <x:v>1</x:v>
      </x:c>
      <x:c r="G72" s="47" t="n">
        <x:f>IF(D72=0,0,ABS(E72/D72))</x:f>
        <x:v>0.5</x:v>
      </x:c>
      <x:c r="H72" s="52"/>
      <x:c r="I72" s="50"/>
      <x:c r="J72" s="50"/>
      <x:c r="K72" s="51"/>
      <x:c r="L72" s="19" t="n">
        <x:v>4160</x:v>
      </x:c>
      <x:c r="M72" s="50"/>
      <x:c r="N72" s="50"/>
      <x:c r="O72" s="70"/>
    </x:row>
    <x:row r="73" spans="1:19" hidden="1" outlineLevel="2" collapsed="1" x14ac:dyDescent="0.2">
      <x:c r="B73" s="45" t="inlineStr">
        <x:is>
          <x:t>J500</x:t>
        </x:is>
      </x:c>
      <x:c r="C73" s="46" t="inlineStr">
        <x:is>
          <x:t>Grzybowski, Piotr</x:t>
        </x:is>
      </x:c>
      <x:c r="D73" s="45" t="n">
        <x:v>873.6</x:v>
      </x:c>
      <x:c r="E73" s="19" t="n">
        <x:v>0</x:v>
      </x:c>
      <x:c r="F73" s="19" t="n">
        <x:f>MAX(D73-E73, 0)</x:f>
        <x:v>1</x:v>
      </x:c>
      <x:c r="G73" s="47" t="n">
        <x:f>IF(D73=0,0,ABS(E73/D73))</x:f>
        <x:v>0.5</x:v>
      </x:c>
      <x:c r="H73" s="72"/>
      <x:c r="I73" s="73"/>
      <x:c r="J73" s="73"/>
      <x:c r="K73" s="74"/>
      <x:c r="L73" s="19" t="n">
        <x:v>2454.4</x:v>
      </x:c>
      <x:c r="M73" s="73"/>
      <x:c r="N73" s="73"/>
      <x:c r="O73" s="76"/>
    </x:row>
    <x:row r="74" spans="1:19" hidden="1" outlineLevel="2" collapsed="1" x14ac:dyDescent="0.2">
      <x:c r="B74" s="45" t="inlineStr">
        <x:is>
          <x:t>J500</x:t>
        </x:is>
      </x:c>
      <x:c r="C74" s="46" t="inlineStr">
        <x:is>
          <x:t>Litwinczuk, Robert</x:t>
        </x:is>
      </x:c>
      <x:c r="D74" s="45" t="n">
        <x:v>1502.592</x:v>
      </x:c>
      <x:c r="E74" s="19" t="n">
        <x:v>1140.36</x:v>
      </x:c>
      <x:c r="F74" s="19" t="n">
        <x:f>MAX(D74-E74, 0)</x:f>
        <x:v>1</x:v>
      </x:c>
      <x:c r="G74" s="47" t="n">
        <x:f>IF(D74=0,0,ABS(E74/D74))</x:f>
        <x:v>0.5</x:v>
      </x:c>
      <x:c r="H74" s="72"/>
      <x:c r="I74" s="73"/>
      <x:c r="J74" s="73"/>
      <x:c r="K74" s="74"/>
      <x:c r="L74" s="19" t="n">
        <x:v>7870.72</x:v>
      </x:c>
      <x:c r="M74" s="73"/>
      <x:c r="N74" s="73"/>
      <x:c r="O74" s="76"/>
    </x:row>
    <x:row r="75" spans="1:19" hidden="1" outlineLevel="2" collapsed="1" x14ac:dyDescent="0.2">
      <x:c r="B75" s="45" t="inlineStr">
        <x:is>
          <x:t>J500</x:t>
        </x:is>
      </x:c>
      <x:c r="C75" s="46" t="inlineStr">
        <x:is>
          <x:t>Pieszko, Pawel</x:t>
        </x:is>
      </x:c>
      <x:c r="D75" s="45" t="n">
        <x:v>1502.592</x:v>
      </x:c>
      <x:c r="E75" s="19" t="n">
        <x:v>346.58</x:v>
      </x:c>
      <x:c r="F75" s="19" t="n">
        <x:f>MAX(D75-E75, 0)</x:f>
        <x:v>1</x:v>
      </x:c>
      <x:c r="G75" s="47" t="n">
        <x:f>IF(D75=0,0,ABS(E75/D75))</x:f>
        <x:v>0.5</x:v>
      </x:c>
      <x:c r="H75" s="72"/>
      <x:c r="I75" s="73"/>
      <x:c r="J75" s="73"/>
      <x:c r="K75" s="74"/>
      <x:c r="L75" s="19" t="n">
        <x:v>6081.92</x:v>
      </x:c>
      <x:c r="M75" s="73"/>
      <x:c r="N75" s="73"/>
      <x:c r="O75" s="76"/>
    </x:row>
    <x:row r="76" spans="1:19" hidden="1" outlineLevel="2" collapsed="1" x14ac:dyDescent="0.2">
      <x:c r="B76" s="45" t="inlineStr">
        <x:is>
          <x:t>J500</x:t>
        </x:is>
      </x:c>
      <x:c r="C76" s="46" t="inlineStr">
        <x:is>
          <x:t>Zbroja, Adam</x:t>
        </x:is>
      </x:c>
      <x:c r="D76" s="45" t="n">
        <x:v>0</x:v>
      </x:c>
      <x:c r="E76" s="19" t="n">
        <x:v>2236.0</x:v>
      </x:c>
      <x:c r="F76" s="19" t="n">
        <x:f>MAX(D76-E76, 0)</x:f>
        <x:v>1</x:v>
      </x:c>
      <x:c r="G76" s="47" t="n">
        <x:f>IF(D76=0,0,ABS(E76/D76))</x:f>
        <x:v>0.5</x:v>
      </x:c>
      <x:c r="H76" s="53"/>
      <x:c r="I76" s="54"/>
      <x:c r="J76" s="54"/>
      <x:c r="K76" s="55"/>
      <x:c r="L76" s="19" t="n">
        <x:v>2496</x:v>
      </x:c>
      <x:c r="M76" s="54"/>
      <x:c r="N76" s="54"/>
      <x:c r="O76" s="71"/>
    </x:row>
    <x:row r="77" spans="1:19" outlineLevel="1" x14ac:dyDescent="0.2">
      <x:c r="B77" s="58" t="inlineStr">
        <x:v>49</x:v>
        <x:is>
          <x:t>Total J500</x:t>
        </x:is>
      </x:c>
      <x:c r="C77" s="59"/>
      <x:c r="D77" s="58" t="n">
        <x:v>3878.784</x:v>
      </x:c>
      <x:c r="E77" s="60" t="n">
        <x:v>3982.94</x:v>
      </x:c>
      <x:c r="F77" s="60" t="n">
        <x:f>MAX(D77-E77, 0)</x:f>
        <x:v>1</x:v>
      </x:c>
      <x:c r="G77" s="61" t="n">
        <x:f>IF(D77=0,0,ABS(E77/D77))</x:f>
        <x:v>0.5</x:v>
      </x:c>
      <x:c r="H77" s="58" t="n">
        <x:v>46582.016</x:v>
      </x:c>
      <x:c r="I77" s="60" t="n">
        <x:v>31791.89</x:v>
      </x:c>
      <x:c r="J77" s="62" t="n">
        <x:f>IF(H77=0,"No plan at start",I77/H77)</x:f>
        <x:v>2</x:v>
      </x:c>
      <x:c r="K77" s="60" t="n">
        <x:f>MAX(H77-I77, 0)</x:f>
        <x:v>0</x:v>
      </x:c>
      <x:c r="L77" s="60" t="n">
        <x:v>23063.04</x:v>
      </x:c>
      <x:c r="M77" s="60" t="n">
        <x:f>I77+L77</x:f>
        <x:v>3</x:v>
      </x:c>
      <x:c r="N77" s="60" t="n">
        <x:f>M77-H77</x:f>
        <x:v>2</x:v>
      </x:c>
      <x:c r="O77" s="61" t="n">
        <x:f>IF(H77=0,"No plan at start",M77/H77)</x:f>
        <x:v>3</x:v>
      </x:c>
    </x:row>
    <x:row r="78" spans="1:19" hidden="1" outlineLevel="2" collapsed="1" x14ac:dyDescent="0.2">
      <x:c r="B78" s="45" t="inlineStr">
        <x:is>
          <x:t>K094</x:t>
        </x:is>
      </x:c>
      <x:c r="C78" s="46" t="inlineStr">
        <x:is>
          <x:t>Grzybowski, Piotr</x:t>
        </x:is>
      </x:c>
      <x:c r="D78" s="45" t="n">
        <x:v>0</x:v>
      </x:c>
      <x:c r="E78" s="19" t="n">
        <x:v>643.5</x:v>
      </x:c>
      <x:c r="F78" s="19" t="n">
        <x:f>MAX(D78-E78, 0)</x:f>
        <x:v>1</x:v>
      </x:c>
      <x:c r="G78" s="47" t="n">
        <x:f>IF(D78=0,0,ABS(E78/D78))</x:f>
        <x:v>0.5</x:v>
      </x:c>
      <x:c r="H78" s="52"/>
      <x:c r="I78" s="50"/>
      <x:c r="J78" s="50"/>
      <x:c r="K78" s="51"/>
      <x:c r="L78" s="19" t="n">
        <x:v>0</x:v>
      </x:c>
      <x:c r="M78" s="50"/>
      <x:c r="N78" s="50"/>
      <x:c r="O78" s="70"/>
    </x:row>
    <x:row r="79" spans="1:19" outlineLevel="1" x14ac:dyDescent="0.2">
      <x:c r="B79" s="58" t="inlineStr">
        <x:v>49</x:v>
        <x:is>
          <x:t>Total K094</x:t>
        </x:is>
      </x:c>
      <x:c r="C79" s="59"/>
      <x:c r="D79" s="58" t="n">
        <x:v>0</x:v>
      </x:c>
      <x:c r="E79" s="60" t="n">
        <x:v>643.5</x:v>
      </x:c>
      <x:c r="F79" s="60" t="n">
        <x:f>MAX(D79-E79, 0)</x:f>
        <x:v>1</x:v>
      </x:c>
      <x:c r="G79" s="61" t="n">
        <x:f>IF(D79=0,0,ABS(E79/D79))</x:f>
        <x:v>0.5</x:v>
      </x:c>
      <x:c r="H79" s="58" t="n">
        <x:v>0</x:v>
      </x:c>
      <x:c r="I79" s="60" t="n">
        <x:v>24371.75</x:v>
      </x:c>
      <x:c r="J79" s="62" t="n">
        <x:f>IF(H79=0,"No plan at start",I79/H79)</x:f>
        <x:v>2</x:v>
      </x:c>
      <x:c r="K79" s="60" t="n">
        <x:f>MAX(H79-I79, 0)</x:f>
        <x:v>0</x:v>
      </x:c>
      <x:c r="L79" s="60" t="n">
        <x:v>0</x:v>
      </x:c>
      <x:c r="M79" s="60" t="n">
        <x:f>I79+L79</x:f>
        <x:v>3</x:v>
      </x:c>
      <x:c r="N79" s="60" t="n">
        <x:f>M79-H79</x:f>
        <x:v>2</x:v>
      </x:c>
      <x:c r="O79" s="61" t="n">
        <x:f>IF(H79=0,"No plan at start",M79/H79)</x:f>
        <x:v>3</x:v>
      </x:c>
    </x:row>
    <x:row r="80" spans="1:19" hidden="1" outlineLevel="2" collapsed="1" x14ac:dyDescent="0.2">
      <x:c r="B80" s="45" t="inlineStr">
        <x:is>
          <x:t>K325</x:t>
        </x:is>
      </x:c>
      <x:c r="C80" s="46" t="inlineStr">
        <x:is>
          <x:t>Dziura, Slawomir</x:t>
        </x:is>
      </x:c>
      <x:c r="D80" s="45" t="n">
        <x:v>0</x:v>
      </x:c>
      <x:c r="E80" s="19" t="n">
        <x:v>1163.5</x:v>
      </x:c>
      <x:c r="F80" s="19" t="n">
        <x:f>MAX(D80-E80, 0)</x:f>
        <x:v>1</x:v>
      </x:c>
      <x:c r="G80" s="47" t="n">
        <x:f>IF(D80=0,0,ABS(E80/D80))</x:f>
        <x:v>0.5</x:v>
      </x:c>
      <x:c r="H80" s="52"/>
      <x:c r="I80" s="50"/>
      <x:c r="J80" s="50"/>
      <x:c r="K80" s="51"/>
      <x:c r="L80" s="19" t="n">
        <x:v>0</x:v>
      </x:c>
      <x:c r="M80" s="50"/>
      <x:c r="N80" s="50"/>
      <x:c r="O80" s="70"/>
    </x:row>
    <x:row r="81" spans="1:19" outlineLevel="1" x14ac:dyDescent="0.2">
      <x:c r="B81" s="58" t="inlineStr">
        <x:v>49</x:v>
        <x:is>
          <x:t>Total K325</x:t>
        </x:is>
      </x:c>
      <x:c r="C81" s="59"/>
      <x:c r="D81" s="58" t="n">
        <x:v>0</x:v>
      </x:c>
      <x:c r="E81" s="60" t="n">
        <x:v>1163.5</x:v>
      </x:c>
      <x:c r="F81" s="60" t="n">
        <x:f>MAX(D81-E81, 0)</x:f>
        <x:v>1</x:v>
      </x:c>
      <x:c r="G81" s="61" t="n">
        <x:f>IF(D81=0,0,ABS(E81/D81))</x:f>
        <x:v>0.5</x:v>
      </x:c>
      <x:c r="H81" s="58" t="n">
        <x:v>6084</x:v>
      </x:c>
      <x:c r="I81" s="60" t="n">
        <x:v>9010.95</x:v>
      </x:c>
      <x:c r="J81" s="62" t="n">
        <x:f>IF(H81=0,"No plan at start",I81/H81)</x:f>
        <x:v>2</x:v>
      </x:c>
      <x:c r="K81" s="60" t="n">
        <x:f>MAX(H81-I81, 0)</x:f>
        <x:v>0</x:v>
      </x:c>
      <x:c r="L81" s="60" t="n">
        <x:v>0</x:v>
      </x:c>
      <x:c r="M81" s="60" t="n">
        <x:f>I81+L81</x:f>
        <x:v>3</x:v>
      </x:c>
      <x:c r="N81" s="60" t="n">
        <x:f>M81-H81</x:f>
        <x:v>2</x:v>
      </x:c>
      <x:c r="O81" s="61" t="n">
        <x:f>IF(H81=0,"No plan at start",M81/H81)</x:f>
        <x:v>3</x:v>
      </x:c>
    </x:row>
    <x:row r="82" spans="1:19" hidden="1" outlineLevel="2" collapsed="1" x14ac:dyDescent="0.2">
      <x:c r="B82" s="45" t="inlineStr">
        <x:is>
          <x:t>N386</x:t>
        </x:is>
      </x:c>
      <x:c r="C82" s="46" t="inlineStr">
        <x:is>
          <x:t>Zbroja, Adam</x:t>
        </x:is>
      </x:c>
      <x:c r="D82" s="45" t="n">
        <x:v>249.6</x:v>
      </x:c>
      <x:c r="E82" s="19" t="n">
        <x:v>0</x:v>
      </x:c>
      <x:c r="F82" s="19" t="n">
        <x:f>MAX(D82-E82, 0)</x:f>
        <x:v>1</x:v>
      </x:c>
      <x:c r="G82" s="47" t="n">
        <x:f>IF(D82=0,0,ABS(E82/D82))</x:f>
        <x:v>0.5</x:v>
      </x:c>
      <x:c r="H82" s="52"/>
      <x:c r="I82" s="50"/>
      <x:c r="J82" s="50"/>
      <x:c r="K82" s="51"/>
      <x:c r="L82" s="19" t="n">
        <x:v>832</x:v>
      </x:c>
      <x:c r="M82" s="50"/>
      <x:c r="N82" s="50"/>
      <x:c r="O82" s="70"/>
    </x:row>
    <x:row r="83" spans="1:19" outlineLevel="1" x14ac:dyDescent="0.2">
      <x:c r="B83" s="58" t="inlineStr">
        <x:v>49</x:v>
        <x:is>
          <x:t>Total N386</x:t>
        </x:is>
      </x:c>
      <x:c r="C83" s="59"/>
      <x:c r="D83" s="58" t="n">
        <x:v>249.6</x:v>
      </x:c>
      <x:c r="E83" s="60" t="n">
        <x:v>0</x:v>
      </x:c>
      <x:c r="F83" s="60" t="n">
        <x:f>MAX(D83-E83, 0)</x:f>
        <x:v>1</x:v>
      </x:c>
      <x:c r="G83" s="61" t="n">
        <x:f>IF(D83=0,0,ABS(E83/D83))</x:f>
        <x:v>0.5</x:v>
      </x:c>
      <x:c r="H83" s="58" t="n">
        <x:v>1144</x:v>
      </x:c>
      <x:c r="I83" s="60" t="n">
        <x:v>208</x:v>
      </x:c>
      <x:c r="J83" s="62" t="n">
        <x:f>IF(H83=0,"No plan at start",I83/H83)</x:f>
        <x:v>2</x:v>
      </x:c>
      <x:c r="K83" s="60" t="n">
        <x:f>MAX(H83-I83, 0)</x:f>
        <x:v>0</x:v>
      </x:c>
      <x:c r="L83" s="60" t="n">
        <x:v>832</x:v>
      </x:c>
      <x:c r="M83" s="60" t="n">
        <x:f>I83+L83</x:f>
        <x:v>3</x:v>
      </x:c>
      <x:c r="N83" s="60" t="n">
        <x:f>M83-H83</x:f>
        <x:v>2</x:v>
      </x:c>
      <x:c r="O83" s="61" t="n">
        <x:f>IF(H83=0,"No plan at start",M83/H83)</x:f>
        <x:v>3</x:v>
      </x:c>
    </x:row>
    <x:row r="84" spans="1:19" hidden="1" outlineLevel="2" collapsed="1" x14ac:dyDescent="0.2">
      <x:c r="B84" s="45" t="inlineStr">
        <x:is>
          <x:t>N694</x:t>
        </x:is>
      </x:c>
      <x:c r="C84" s="46" t="inlineStr">
        <x:is>
          <x:t>Pieszko, Pawel</x:t>
        </x:is>
      </x:c>
      <x:c r="D84" s="45" t="n">
        <x:v>1361.724</x:v>
      </x:c>
      <x:c r="E84" s="19" t="n">
        <x:v>0</x:v>
      </x:c>
      <x:c r="F84" s="19" t="n">
        <x:f>MAX(D84-E84, 0)</x:f>
        <x:v>1</x:v>
      </x:c>
      <x:c r="G84" s="47" t="n">
        <x:f>IF(D84=0,0,ABS(E84/D84))</x:f>
        <x:v>0.5</x:v>
      </x:c>
      <x:c r="H84" s="52"/>
      <x:c r="I84" s="50"/>
      <x:c r="J84" s="50"/>
      <x:c r="K84" s="51"/>
      <x:c r="L84" s="19" t="n">
        <x:v>648.44</x:v>
      </x:c>
      <x:c r="M84" s="50"/>
      <x:c r="N84" s="50"/>
      <x:c r="O84" s="70"/>
    </x:row>
    <x:row r="85" spans="1:19" hidden="1" outlineLevel="2" collapsed="1" x14ac:dyDescent="0.2">
      <x:c r="B85" s="45" t="inlineStr">
        <x:is>
          <x:t>N694</x:t>
        </x:is>
      </x:c>
      <x:c r="C85" s="46" t="inlineStr">
        <x:is>
          <x:t>Zbroja, Adam</x:t>
        </x:is>
      </x:c>
      <x:c r="D85" s="45" t="n">
        <x:v>791.7</x:v>
      </x:c>
      <x:c r="E85" s="19" t="n">
        <x:v>0</x:v>
      </x:c>
      <x:c r="F85" s="19" t="n">
        <x:f>MAX(D85-E85, 0)</x:f>
        <x:v>1</x:v>
      </x:c>
      <x:c r="G85" s="47" t="n">
        <x:f>IF(D85=0,0,ABS(E85/D85))</x:f>
        <x:v>0.5</x:v>
      </x:c>
      <x:c r="H85" s="53"/>
      <x:c r="I85" s="54"/>
      <x:c r="J85" s="54"/>
      <x:c r="K85" s="55"/>
      <x:c r="L85" s="19" t="n">
        <x:v>2746.12</x:v>
      </x:c>
      <x:c r="M85" s="54"/>
      <x:c r="N85" s="54"/>
      <x:c r="O85" s="71"/>
    </x:row>
    <x:row r="86" spans="1:19" outlineLevel="1" x14ac:dyDescent="0.2">
      <x:c r="B86" s="58" t="inlineStr">
        <x:v>49</x:v>
        <x:is>
          <x:t>Total N694</x:t>
        </x:is>
      </x:c>
      <x:c r="C86" s="59"/>
      <x:c r="D86" s="58" t="n">
        <x:v>2153.424</x:v>
      </x:c>
      <x:c r="E86" s="60" t="n">
        <x:v>0</x:v>
      </x:c>
      <x:c r="F86" s="60" t="n">
        <x:f>MAX(D86-E86, 0)</x:f>
        <x:v>1</x:v>
      </x:c>
      <x:c r="G86" s="61" t="n">
        <x:f>IF(D86=0,0,ABS(E86/D86))</x:f>
        <x:v>0.5</x:v>
      </x:c>
      <x:c r="H86" s="58" t="n">
        <x:v>6426.42</x:v>
      </x:c>
      <x:c r="I86" s="60" t="n">
        <x:v>860.60</x:v>
      </x:c>
      <x:c r="J86" s="62" t="n">
        <x:f>IF(H86=0,"No plan at start",I86/H86)</x:f>
        <x:v>2</x:v>
      </x:c>
      <x:c r="K86" s="60" t="n">
        <x:f>MAX(H86-I86, 0)</x:f>
        <x:v>0</x:v>
      </x:c>
      <x:c r="L86" s="60" t="n">
        <x:v>3394.56</x:v>
      </x:c>
      <x:c r="M86" s="60" t="n">
        <x:f>I86+L86</x:f>
        <x:v>3</x:v>
      </x:c>
      <x:c r="N86" s="60" t="n">
        <x:f>M86-H86</x:f>
        <x:v>2</x:v>
      </x:c>
      <x:c r="O86" s="61" t="n">
        <x:f>IF(H86=0,"No plan at start",M86/H86)</x:f>
        <x:v>3</x:v>
      </x:c>
    </x:row>
    <x:row r="87" spans="1:19" hidden="1" outlineLevel="2" collapsed="1" x14ac:dyDescent="0.2">
      <x:c r="B87" s="45" t="inlineStr">
        <x:is>
          <x:t>N707</x:t>
        </x:is>
      </x:c>
      <x:c r="C87" s="46" t="inlineStr">
        <x:is>
          <x:t>Grzybowski, Piotr</x:t>
        </x:is>
      </x:c>
      <x:c r="D87" s="45" t="n">
        <x:v>0</x:v>
      </x:c>
      <x:c r="E87" s="19" t="n">
        <x:v>26</x:v>
      </x:c>
      <x:c r="F87" s="19" t="n">
        <x:f>MAX(D87-E87, 0)</x:f>
        <x:v>1</x:v>
      </x:c>
      <x:c r="G87" s="47" t="n">
        <x:f>IF(D87=0,0,ABS(E87/D87))</x:f>
        <x:v>0.5</x:v>
      </x:c>
      <x:c r="H87" s="52"/>
      <x:c r="I87" s="50"/>
      <x:c r="J87" s="50"/>
      <x:c r="K87" s="51"/>
      <x:c r="L87" s="19" t="n">
        <x:v>0</x:v>
      </x:c>
      <x:c r="M87" s="50"/>
      <x:c r="N87" s="50"/>
      <x:c r="O87" s="70"/>
    </x:row>
    <x:row r="88" spans="1:19" hidden="1" outlineLevel="2" collapsed="1" x14ac:dyDescent="0.2">
      <x:c r="B88" s="45" t="inlineStr">
        <x:is>
          <x:t>N707</x:t>
        </x:is>
      </x:c>
      <x:c r="C88" s="46" t="inlineStr">
        <x:is>
          <x:t>Litwinczuk, Robert</x:t>
        </x:is>
      </x:c>
      <x:c r="D88" s="45" t="n">
        <x:v>0</x:v>
      </x:c>
      <x:c r="E88" s="19" t="n">
        <x:v>178.88</x:v>
      </x:c>
      <x:c r="F88" s="19" t="n">
        <x:f>MAX(D88-E88, 0)</x:f>
        <x:v>1</x:v>
      </x:c>
      <x:c r="G88" s="47" t="n">
        <x:f>IF(D88=0,0,ABS(E88/D88))</x:f>
        <x:v>0.5</x:v>
      </x:c>
      <x:c r="H88" s="53"/>
      <x:c r="I88" s="54"/>
      <x:c r="J88" s="54"/>
      <x:c r="K88" s="55"/>
      <x:c r="L88" s="19" t="n">
        <x:v>0</x:v>
      </x:c>
      <x:c r="M88" s="54"/>
      <x:c r="N88" s="54"/>
      <x:c r="O88" s="71"/>
    </x:row>
    <x:row r="89" spans="1:19" ht="13.5" outlineLevel="1" thickBot="1" x14ac:dyDescent="0.25">
      <x:c r="B89" s="63" t="inlineStr">
        <x:v>49</x:v>
        <x:is>
          <x:t>Total N707</x:t>
        </x:is>
      </x:c>
      <x:c r="C89" s="64"/>
      <x:c r="D89" s="63" t="n">
        <x:v>0</x:v>
      </x:c>
      <x:c r="E89" s="65" t="n">
        <x:v>204.88</x:v>
      </x:c>
      <x:c r="F89" s="65" t="n">
        <x:f>MAX(D89-E89, 0)</x:f>
        <x:v>0</x:v>
      </x:c>
      <x:c r="G89" s="66" t="n">
        <x:f>IF(D89=0,0,ABS(E89/D89))</x:f>
        <x:v>4</x:v>
      </x:c>
      <x:c r="H89" s="63" t="n">
        <x:v>26732.16</x:v>
      </x:c>
      <x:c r="I89" s="65" t="n">
        <x:v>2098.98</x:v>
      </x:c>
      <x:c r="J89" s="67" t="n">
        <x:f>IF(H89=0,"No plan at start",I89/H89)</x:f>
        <x:v>0.5</x:v>
      </x:c>
      <x:c r="K89" s="65" t="n">
        <x:f>MAX(H89-I89, 0)</x:f>
        <x:v>1</x:v>
      </x:c>
      <x:c r="L89" s="65" t="n">
        <x:v>0</x:v>
      </x:c>
      <x:c r="M89" s="65" t="n">
        <x:f>I89+L89</x:f>
        <x:v>6</x:v>
      </x:c>
      <x:c r="N89" s="65" t="n">
        <x:f>M89-H89</x:f>
        <x:v>4</x:v>
      </x:c>
      <x:c r="O89" s="66" t="n">
        <x:f>IF(H89=0,"No plan at start",M89/H89)</x:f>
        <x:v>3</x:v>
      </x:c>
    </x:row>
    <x:row r="90" x14ac:dyDescent="0.2"/>
  </x:sheetData>
  <x:mergeCells count="9">
    <x:mergeCell ref="B2:C2"/>
    <x:mergeCell ref="F2:G2"/>
    <x:mergeCell ref="F4:G4"/>
    <x:mergeCell ref="F5:O7"/>
    <x:mergeCell ref="F8:M9"/>
    <x:mergeCell ref="D14:G14"/>
    <x:mergeCell ref="H14:O14"/>
    <x:mergeCell ref="D54:G54"/>
    <x:mergeCell ref="H54:O54"/>
  </x:mergeCells>
  <x:conditionalFormatting sqref="F17:F49 F57:F89">
    <x:cfRule type="cellIs" dxfId="11" priority="5" operator="greaterThan">
      <x:formula>0</x:formula>
    </x:cfRule>
    <x:cfRule type="cellIs" dxfId="10" priority="6" operator="lessThanOrEqual">
      <x:formula>0</x:formula>
    </x:cfRule>
  </x:conditionalFormatting>
  <x:conditionalFormatting sqref="N21 N23 N29 N31 N37 N39 N41 N43 N46 N49 N61 N63 N69 N71 N77 N79 N81 N83 N86 N89">
    <x:cfRule type="cellIs" dxfId="9" priority="4" operator="greaterThan">
      <x:formula>0</x:formula>
    </x:cfRule>
    <x:cfRule type="cellIs" dxfId="8" priority="3" operator="lessThanOrEqual">
      <x:formula>0</x:formula>
    </x:cfRule>
  </x:conditionalFormatting>
  <x:conditionalFormatting sqref="K21 K23 K29 K31 K37 K39 K41 K43 K46 K49 K61 K63 K69 K71 K77 K79 K81 K83 K86 K89">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