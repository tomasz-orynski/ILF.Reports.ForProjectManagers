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<sst xmlns="http://schemas.openxmlformats.org/spreadsheetml/2006/main" count="79" uniqueCount="50">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</sst>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Civil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Architecture</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Sabina Krygowska</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Nagler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Kruk, Katarzyna</x:t>
        </x:is>
      </x:c>
      <x:c r="D17" s="45" t="n">
        <x:v>168</x:v>
      </x:c>
      <x:c r="E17" s="19" t="n">
        <x:v>79.42</x:v>
      </x:c>
      <x:c r="F17" s="19" t="n">
        <x:f>MAX(D17-E17, 0)</x:f>
        <x:v>1</x:v>
      </x:c>
      <x:c r="G17" s="47" t="n">
        <x:f>IF(D17=0,0,ABS(E17/D17))</x:f>
        <x:v>0.5</x:v>
      </x:c>
      <x:c r="H17" s="52"/>
      <x:c r="I17" s="50"/>
      <x:c r="J17" s="50"/>
      <x:c r="K17" s="51"/>
      <x:c r="L17" s="19" t="n">
        <x:v>263.6</x:v>
      </x:c>
      <x:c r="M17" s="56"/>
      <x:c r="N17" s="50"/>
      <x:c r="O17" s="70"/>
      <x:c r="P17" s="29"/>
      <x:c r="Q17" s="30"/>
      <x:c r="R17" s="31"/>
      <x:c r="S17" s="31"/>
    </x:row>
    <x:row r="18" spans="1:19" s="7" customFormat="1" hidden="1" outlineLevel="2" collapsed="1" x14ac:dyDescent="0.2">
      <x:c r="A18" s="5"/>
      <x:c r="B18" s="45" t="inlineStr">
        <x:is>
          <x:t>E872</x:t>
        </x:is>
      </x:c>
      <x:c r="C18" s="46" t="inlineStr">
        <x:is>
          <x:t>Pajak, Beata</x:t>
        </x:is>
      </x:c>
      <x:c r="D18" s="45" t="n">
        <x:v>84</x:v>
      </x:c>
      <x:c r="E18" s="19" t="n">
        <x:v>6</x:v>
      </x:c>
      <x:c r="F18" s="19" t="n">
        <x:f>MAX(D18-E18, 0)</x:f>
        <x:v>1</x:v>
      </x:c>
      <x:c r="G18" s="47" t="n">
        <x:f>IF(D18=0,0,ABS(E18/D18))</x:f>
        <x:v>0.5</x:v>
      </x:c>
      <x:c r="H18" s="72"/>
      <x:c r="I18" s="73"/>
      <x:c r="J18" s="73"/>
      <x:c r="K18" s="74"/>
      <x:c r="L18" s="19" t="n">
        <x:v>0</x:v>
      </x:c>
      <x:c r="M18" s="75"/>
      <x:c r="N18" s="73"/>
      <x:c r="O18" s="76"/>
      <x:c r="P18" s="29"/>
      <x:c r="Q18" s="30"/>
      <x:c r="R18" s="31"/>
      <x:c r="S18" s="31"/>
    </x:row>
    <x:row r="19" spans="1:19" s="7" customFormat="1" hidden="1" outlineLevel="2" collapsed="1" x14ac:dyDescent="0.2">
      <x:c r="A19" s="5"/>
      <x:c r="B19" s="45" t="inlineStr">
        <x:is>
          <x:t>E872</x:t>
        </x:is>
      </x:c>
      <x:c r="C19" s="46" t="inlineStr">
        <x:is>
          <x:t>Skowyrski, Szymon</x:t>
        </x:is>
      </x:c>
      <x:c r="D19" s="45" t="n">
        <x:v>67.2</x:v>
      </x:c>
      <x:c r="E19" s="19" t="n">
        <x:v>87.0</x:v>
      </x:c>
      <x:c r="F19" s="19" t="n">
        <x:f>MAX(D19-E19, 0)</x:f>
        <x:v>1</x:v>
      </x:c>
      <x:c r="G19" s="47" t="n">
        <x:f>IF(D19=0,0,ABS(E19/D19))</x:f>
        <x:v>0.5</x:v>
      </x:c>
      <x:c r="H19" s="72"/>
      <x:c r="I19" s="73"/>
      <x:c r="J19" s="73"/>
      <x:c r="K19" s="74"/>
      <x:c r="L19" s="19" t="n">
        <x:v>330.4</x:v>
      </x:c>
      <x:c r="M19" s="75"/>
      <x:c r="N19" s="73"/>
      <x:c r="O19" s="76"/>
      <x:c r="P19" s="29"/>
      <x:c r="Q19" s="30"/>
      <x:c r="R19" s="31"/>
      <x:c r="S19" s="31"/>
    </x:row>
    <x:row r="20" spans="1:19" s="7" customFormat="1" hidden="1" outlineLevel="2" collapsed="1" x14ac:dyDescent="0.2">
      <x:c r="A20" s="5"/>
      <x:c r="B20" s="45" t="inlineStr">
        <x:is>
          <x:t>E872</x:t>
        </x:is>
      </x:c>
      <x:c r="C20" s="46" t="inlineStr">
        <x:is>
          <x:t>Smela-Baszkiewicz, Agata</x:t>
        </x:is>
      </x:c>
      <x:c r="D20" s="45" t="n">
        <x:v>168</x:v>
      </x:c>
      <x:c r="E20" s="19" t="n">
        <x:v>90.79</x:v>
      </x:c>
      <x:c r="F20" s="19" t="n">
        <x:f>MAX(D20-E20, 0)</x:f>
        <x:v>1</x:v>
      </x:c>
      <x:c r="G20" s="47" t="n">
        <x:f>IF(D20=0,0,ABS(E20/D20))</x:f>
        <x:v>0.5</x:v>
      </x:c>
      <x:c r="H20" s="72"/>
      <x:c r="I20" s="73"/>
      <x:c r="J20" s="73"/>
      <x:c r="K20" s="74"/>
      <x:c r="L20" s="19" t="n">
        <x:v>626.4</x:v>
      </x:c>
      <x:c r="M20" s="75"/>
      <x:c r="N20" s="73"/>
      <x:c r="O20" s="76"/>
      <x:c r="P20" s="29"/>
      <x:c r="Q20" s="30"/>
      <x:c r="R20" s="31"/>
      <x:c r="S20" s="31"/>
    </x:row>
    <x:row r="21" spans="1:19" s="7" customFormat="1" hidden="1" outlineLevel="2" collapsed="1" x14ac:dyDescent="0.2">
      <x:c r="A21" s="5"/>
      <x:c r="B21" s="45" t="inlineStr">
        <x:is>
          <x:t>E872</x:t>
        </x:is>
      </x:c>
      <x:c r="C21" s="46" t="inlineStr">
        <x:is>
          <x:t>Wisniewska, Daria</x:t>
        </x:is>
      </x:c>
      <x:c r="D21" s="45" t="n">
        <x:v>50.4</x:v>
      </x:c>
      <x:c r="E21" s="19" t="n">
        <x:v>69.75</x:v>
      </x:c>
      <x:c r="F21" s="19" t="n">
        <x:f>MAX(D21-E21, 0)</x:f>
        <x:v>1</x:v>
      </x:c>
      <x:c r="G21" s="47" t="n">
        <x:f>IF(D21=0,0,ABS(E21/D21))</x:f>
        <x:v>0.5</x:v>
      </x:c>
      <x:c r="H21" s="72"/>
      <x:c r="I21" s="73"/>
      <x:c r="J21" s="73"/>
      <x:c r="K21" s="74"/>
      <x:c r="L21" s="19" t="n">
        <x:v>279.2</x:v>
      </x:c>
      <x:c r="M21" s="57"/>
      <x:c r="N21" s="54"/>
      <x:c r="O21" s="71"/>
      <x:c r="P21" s="29"/>
      <x:c r="Q21" s="30"/>
      <x:c r="R21" s="31"/>
      <x:c r="S21" s="31"/>
    </x:row>
    <x:row r="22" spans="1:19" s="7" customFormat="1" outlineLevel="1" x14ac:dyDescent="0.2">
      <x:c r="A22" s="5"/>
      <x:c r="B22" s="58" t="inlineStr">
        <x:v>49</x:v>
        <x:is>
          <x:t>Total E872</x:t>
        </x:is>
      </x:c>
      <x:c r="C22" s="59"/>
      <x:c r="D22" s="58" t="n">
        <x:v>537.6</x:v>
      </x:c>
      <x:c r="E22" s="60" t="n">
        <x:v>332.96</x:v>
      </x:c>
      <x:c r="F22" s="60" t="n">
        <x:f>MAX(D22-E22, 0)</x:f>
        <x:v>1</x:v>
      </x:c>
      <x:c r="G22" s="61" t="n">
        <x:f>IF(D22=0,0,ABS(E22/D22))</x:f>
        <x:v>0.5</x:v>
      </x:c>
      <x:c r="H22" s="58" t="n">
        <x:v>0</x:v>
      </x:c>
      <x:c r="I22" s="60" t="n">
        <x:v>13767.24</x:v>
      </x:c>
      <x:c r="J22" s="62" t="n">
        <x:f>IF(H22=0,"No plan at start",I22/H22)</x:f>
        <x:v>2</x:v>
      </x:c>
      <x:c r="K22" s="60" t="n">
        <x:f>MAX(H22-I22, 0)</x:f>
        <x:v>0</x:v>
      </x:c>
      <x:c r="L22" s="60" t="n">
        <x:v>1499.6</x:v>
      </x:c>
      <x:c r="M22" s="60" t="n">
        <x:f>I22+L22</x:f>
        <x:v>3</x:v>
      </x:c>
      <x:c r="N22" s="60" t="n">
        <x:f>M22-H22</x:f>
        <x:v>2</x:v>
      </x:c>
      <x:c r="O22" s="61" t="n">
        <x:f>IF(H22=0,"No plan at start",M22/H22)</x:f>
        <x:v>3</x:v>
      </x:c>
      <x:c r="P22" s="29"/>
      <x:c r="Q22" s="30"/>
      <x:c r="R22" s="31"/>
      <x:c r="S22" s="31"/>
    </x:row>
    <x:row r="23" spans="1:19" s="7" customFormat="1" hidden="1" outlineLevel="2" collapsed="1" x14ac:dyDescent="0.2">
      <x:c r="A23" s="5"/>
      <x:c r="B23" s="45" t="inlineStr">
        <x:is>
          <x:t>H204</x:t>
        </x:is>
      </x:c>
      <x:c r="C23" s="46" t="inlineStr">
        <x:is>
          <x:t>Tyszek, Robert</x:t>
        </x:is>
      </x:c>
      <x:c r="D23" s="45" t="n">
        <x:v>0</x:v>
      </x:c>
      <x:c r="E23" s="19" t="n">
        <x:v>26.50</x:v>
      </x:c>
      <x:c r="F23" s="19" t="n">
        <x:f>MAX(D23-E23, 0)</x:f>
        <x:v>1</x:v>
      </x:c>
      <x:c r="G23" s="47" t="n">
        <x:f>IF(D23=0,0,ABS(E23/D23))</x:f>
        <x:v>0.5</x:v>
      </x:c>
      <x:c r="H23" s="52"/>
      <x:c r="I23" s="50"/>
      <x:c r="J23" s="50"/>
      <x:c r="K23" s="51"/>
      <x:c r="L23" s="19" t="n">
        <x:v>0</x:v>
      </x:c>
      <x:c r="M23" s="56"/>
      <x:c r="N23" s="50"/>
      <x:c r="O23" s="70"/>
      <x:c r="P23" s="29"/>
      <x:c r="Q23" s="30"/>
      <x:c r="R23" s="31"/>
      <x:c r="S23" s="31"/>
    </x:row>
    <x:row r="24" spans="1:19" s="7" customFormat="1" outlineLevel="1" x14ac:dyDescent="0.2">
      <x:c r="A24" s="5"/>
      <x:c r="B24" s="58" t="inlineStr">
        <x:v>49</x:v>
        <x:is>
          <x:t>Total H204</x:t>
        </x:is>
      </x:c>
      <x:c r="C24" s="59"/>
      <x:c r="D24" s="58" t="n">
        <x:v>0</x:v>
      </x:c>
      <x:c r="E24" s="60" t="n">
        <x:v>26.50</x:v>
      </x:c>
      <x:c r="F24" s="60" t="n">
        <x:f>MAX(D24-E24, 0)</x:f>
        <x:v>1</x:v>
      </x:c>
      <x:c r="G24" s="61" t="n">
        <x:f>IF(D24=0,0,ABS(E24/D24))</x:f>
        <x:v>0.5</x:v>
      </x:c>
      <x:c r="H24" s="58" t="n">
        <x:v>0</x:v>
      </x:c>
      <x:c r="I24" s="60" t="n">
        <x:v>3832.00</x:v>
      </x:c>
      <x:c r="J24" s="62" t="n">
        <x:f>IF(H24=0,"No plan at start",I24/H24)</x:f>
        <x:v>2</x:v>
      </x:c>
      <x:c r="K24" s="60" t="n">
        <x:f>MAX(H24-I24, 0)</x:f>
        <x:v>0</x:v>
      </x:c>
      <x:c r="L24" s="60" t="n">
        <x:v>0</x:v>
      </x:c>
      <x:c r="M24" s="60" t="n">
        <x:f>I24+L24</x:f>
        <x:v>3</x:v>
      </x:c>
      <x:c r="N24" s="60" t="n">
        <x:f>M24-H24</x:f>
        <x:v>2</x:v>
      </x:c>
      <x:c r="O24" s="61" t="n">
        <x:f>IF(H24=0,"No plan at start",M24/H24)</x:f>
        <x:v>3</x:v>
      </x:c>
      <x:c r="P24" s="29"/>
      <x:c r="Q24" s="30"/>
      <x:c r="R24" s="31"/>
      <x:c r="S24" s="31"/>
    </x:row>
    <x:row r="25" spans="1:19" s="7" customFormat="1" hidden="1" outlineLevel="2" collapsed="1" x14ac:dyDescent="0.2">
      <x:c r="A25" s="5"/>
      <x:c r="B25" s="45" t="inlineStr">
        <x:is>
          <x:t>H808</x:t>
        </x:is>
      </x:c>
      <x:c r="C25" s="46" t="inlineStr">
        <x:is>
          <x:t>Grzywacz, Tomasz</x:t>
        </x:is>
      </x:c>
      <x:c r="D25" s="45" t="n">
        <x:v>0</x:v>
      </x:c>
      <x:c r="E25" s="19" t="n">
        <x:v>19.25</x:v>
      </x:c>
      <x:c r="F25" s="19" t="n">
        <x:f>MAX(D25-E25, 0)</x:f>
        <x:v>1</x:v>
      </x:c>
      <x:c r="G25" s="47" t="n">
        <x:f>IF(D25=0,0,ABS(E25/D25))</x:f>
        <x:v>0.5</x:v>
      </x:c>
      <x:c r="H25" s="52"/>
      <x:c r="I25" s="50"/>
      <x:c r="J25" s="50"/>
      <x:c r="K25" s="51"/>
      <x:c r="L25" s="19" t="n">
        <x:v>34.4</x:v>
      </x:c>
      <x:c r="M25" s="56"/>
      <x:c r="N25" s="50"/>
      <x:c r="O25" s="70"/>
      <x:c r="P25" s="29"/>
      <x:c r="Q25" s="30"/>
      <x:c r="R25" s="31"/>
      <x:c r="S25" s="31"/>
    </x:row>
    <x:row r="26" spans="1:19" s="7" customFormat="1" hidden="1" outlineLevel="2" collapsed="1" x14ac:dyDescent="0.2">
      <x:c r="A26" s="5"/>
      <x:c r="B26" s="45" t="inlineStr">
        <x:is>
          <x:t>H808</x:t>
        </x:is>
      </x:c>
      <x:c r="C26" s="46" t="inlineStr">
        <x:is>
          <x:t>Jeromin, Milena</x:t>
        </x:is>
      </x:c>
      <x:c r="D26" s="45" t="n">
        <x:v>168</x:v>
      </x:c>
      <x:c r="E26" s="19" t="n">
        <x:v>69.0</x:v>
      </x:c>
      <x:c r="F26" s="19" t="n">
        <x:f>MAX(D26-E26, 0)</x:f>
        <x:v>1</x:v>
      </x:c>
      <x:c r="G26" s="47" t="n">
        <x:f>IF(D26=0,0,ABS(E26/D26))</x:f>
        <x:v>0.5</x:v>
      </x:c>
      <x:c r="H26" s="72"/>
      <x:c r="I26" s="73"/>
      <x:c r="J26" s="73"/>
      <x:c r="K26" s="74"/>
      <x:c r="L26" s="19" t="n">
        <x:v>656.8</x:v>
      </x:c>
      <x:c r="M26" s="75"/>
      <x:c r="N26" s="73"/>
      <x:c r="O26" s="76"/>
      <x:c r="P26" s="29"/>
      <x:c r="Q26" s="30"/>
      <x:c r="R26" s="31"/>
      <x:c r="S26" s="31"/>
    </x:row>
    <x:row r="27" spans="1:19" s="7" customFormat="1" hidden="1" outlineLevel="2" collapsed="1" x14ac:dyDescent="0.2">
      <x:c r="A27" s="5"/>
      <x:c r="B27" s="45" t="inlineStr">
        <x:is>
          <x:t>H808</x:t>
        </x:is>
      </x:c>
      <x:c r="C27" s="46" t="inlineStr">
        <x:is>
          <x:t>Krygowska, Sabina</x:t>
        </x:is>
      </x:c>
      <x:c r="D27" s="45" t="n">
        <x:v>168</x:v>
      </x:c>
      <x:c r="E27" s="19" t="n">
        <x:v>60.5</x:v>
      </x:c>
      <x:c r="F27" s="19" t="n">
        <x:f>MAX(D27-E27, 0)</x:f>
        <x:v>1</x:v>
      </x:c>
      <x:c r="G27" s="47" t="n">
        <x:f>IF(D27=0,0,ABS(E27/D27))</x:f>
        <x:v>0.5</x:v>
      </x:c>
      <x:c r="H27" s="72"/>
      <x:c r="I27" s="73"/>
      <x:c r="J27" s="73"/>
      <x:c r="K27" s="74"/>
      <x:c r="L27" s="19" t="n">
        <x:v>1908.8</x:v>
      </x:c>
      <x:c r="M27" s="75"/>
      <x:c r="N27" s="73"/>
      <x:c r="O27" s="76"/>
      <x:c r="P27" s="29"/>
      <x:c r="Q27" s="30"/>
      <x:c r="R27" s="31"/>
      <x:c r="S27" s="31"/>
    </x:row>
    <x:row r="28" spans="1:19" s="7" customFormat="1" hidden="1" outlineLevel="2" collapsed="1" x14ac:dyDescent="0.2">
      <x:c r="A28" s="5"/>
      <x:c r="B28" s="45" t="inlineStr">
        <x:is>
          <x:t>H808</x:t>
        </x:is>
      </x:c>
      <x:c r="C28" s="46" t="inlineStr">
        <x:is>
          <x:t>Lebiedowicz-Cuch, Marta</x:t>
        </x:is>
      </x:c>
      <x:c r="D28" s="45" t="n">
        <x:v>168</x:v>
      </x:c>
      <x:c r="E28" s="19" t="n">
        <x:v>76.00</x:v>
      </x:c>
      <x:c r="F28" s="19" t="n">
        <x:f>MAX(D28-E28, 0)</x:f>
        <x:v>1</x:v>
      </x:c>
      <x:c r="G28" s="47" t="n">
        <x:f>IF(D28=0,0,ABS(E28/D28))</x:f>
        <x:v>0.5</x:v>
      </x:c>
      <x:c r="H28" s="72"/>
      <x:c r="I28" s="73"/>
      <x:c r="J28" s="73"/>
      <x:c r="K28" s="74"/>
      <x:c r="L28" s="19" t="n">
        <x:v>765.6</x:v>
      </x:c>
      <x:c r="M28" s="75"/>
      <x:c r="N28" s="73"/>
      <x:c r="O28" s="76"/>
      <x:c r="P28" s="29"/>
      <x:c r="Q28" s="30"/>
      <x:c r="R28" s="31"/>
      <x:c r="S28" s="31"/>
    </x:row>
    <x:row r="29" spans="1:19" s="7" customFormat="1" hidden="1" outlineLevel="2" collapsed="1" x14ac:dyDescent="0.2">
      <x:c r="A29" s="5"/>
      <x:c r="B29" s="45" t="inlineStr">
        <x:is>
          <x:t>H808</x:t>
        </x:is>
      </x:c>
      <x:c r="C29" s="46" t="inlineStr">
        <x:is>
          <x:t>Niemyjski, Michal</x:t>
        </x:is>
      </x:c>
      <x:c r="D29" s="45" t="n">
        <x:v>168</x:v>
      </x:c>
      <x:c r="E29" s="19" t="n">
        <x:v>87.0</x:v>
      </x:c>
      <x:c r="F29" s="19" t="n">
        <x:f>MAX(D29-E29, 0)</x:f>
        <x:v>1</x:v>
      </x:c>
      <x:c r="G29" s="47" t="n">
        <x:f>IF(D29=0,0,ABS(E29/D29))</x:f>
        <x:v>0.5</x:v>
      </x:c>
      <x:c r="H29" s="72"/>
      <x:c r="I29" s="73"/>
      <x:c r="J29" s="73"/>
      <x:c r="K29" s="74"/>
      <x:c r="L29" s="19" t="n">
        <x:v>323.2</x:v>
      </x:c>
      <x:c r="M29" s="75"/>
      <x:c r="N29" s="73"/>
      <x:c r="O29" s="76"/>
      <x:c r="P29" s="29"/>
      <x:c r="Q29" s="30"/>
      <x:c r="R29" s="31"/>
      <x:c r="S29" s="31"/>
    </x:row>
    <x:row r="30" spans="1:19" s="7" customFormat="1" hidden="1" outlineLevel="2" collapsed="1" x14ac:dyDescent="0.2">
      <x:c r="A30" s="5"/>
      <x:c r="B30" s="45" t="inlineStr">
        <x:is>
          <x:t>H808</x:t>
        </x:is>
      </x:c>
      <x:c r="C30" s="46" t="inlineStr">
        <x:is>
          <x:t>Sasinowska, Paulina</x:t>
        </x:is>
      </x:c>
      <x:c r="D30" s="45" t="n">
        <x:v>168</x:v>
      </x:c>
      <x:c r="E30" s="19" t="n">
        <x:v>38.0</x:v>
      </x:c>
      <x:c r="F30" s="19" t="n">
        <x:f>MAX(D30-E30, 0)</x:f>
        <x:v>1</x:v>
      </x:c>
      <x:c r="G30" s="47" t="n">
        <x:f>IF(D30=0,0,ABS(E30/D30))</x:f>
        <x:v>0.5</x:v>
      </x:c>
      <x:c r="H30" s="72"/>
      <x:c r="I30" s="73"/>
      <x:c r="J30" s="73"/>
      <x:c r="K30" s="74"/>
      <x:c r="L30" s="19" t="n">
        <x:v>168</x:v>
      </x:c>
      <x:c r="M30" s="75"/>
      <x:c r="N30" s="73"/>
      <x:c r="O30" s="76"/>
      <x:c r="P30" s="29"/>
      <x:c r="Q30" s="30"/>
      <x:c r="R30" s="31"/>
      <x:c r="S30" s="31"/>
    </x:row>
    <x:row r="31" spans="1:19" s="7" customFormat="1" hidden="1" outlineLevel="2" collapsed="1" x14ac:dyDescent="0.2">
      <x:c r="A31" s="5"/>
      <x:c r="B31" s="45" t="inlineStr">
        <x:is>
          <x:t>H808</x:t>
        </x:is>
      </x:c>
      <x:c r="C31" s="46" t="inlineStr">
        <x:is>
          <x:t>Szubski, Szymon</x:t>
        </x:is>
      </x:c>
      <x:c r="D31" s="45" t="n">
        <x:v>168</x:v>
      </x:c>
      <x:c r="E31" s="19" t="n">
        <x:v>80.75</x:v>
      </x:c>
      <x:c r="F31" s="19" t="n">
        <x:f>MAX(D31-E31, 0)</x:f>
        <x:v>1</x:v>
      </x:c>
      <x:c r="G31" s="47" t="n">
        <x:f>IF(D31=0,0,ABS(E31/D31))</x:f>
        <x:v>0.5</x:v>
      </x:c>
      <x:c r="H31" s="72"/>
      <x:c r="I31" s="73"/>
      <x:c r="J31" s="73"/>
      <x:c r="K31" s="74"/>
      <x:c r="L31" s="19" t="n">
        <x:v>323.2</x:v>
      </x:c>
      <x:c r="M31" s="75"/>
      <x:c r="N31" s="73"/>
      <x:c r="O31" s="76"/>
      <x:c r="P31" s="29"/>
      <x:c r="Q31" s="30"/>
      <x:c r="R31" s="31"/>
      <x:c r="S31" s="31"/>
    </x:row>
    <x:row r="32" spans="1:19" s="7" customFormat="1" hidden="1" outlineLevel="2" collapsed="1" x14ac:dyDescent="0.2">
      <x:c r="A32" s="5"/>
      <x:c r="B32" s="45" t="inlineStr">
        <x:is>
          <x:t>H808</x:t>
        </x:is>
      </x:c>
      <x:c r="C32" s="46" t="inlineStr">
        <x:is>
          <x:t>Tanska, Urszula</x:t>
        </x:is>
      </x:c>
      <x:c r="D32" s="45" t="n">
        <x:v>168</x:v>
      </x:c>
      <x:c r="E32" s="19" t="n">
        <x:v>21</x:v>
      </x:c>
      <x:c r="F32" s="19" t="n">
        <x:f>MAX(D32-E32, 0)</x:f>
        <x:v>1</x:v>
      </x:c>
      <x:c r="G32" s="47" t="n">
        <x:f>IF(D32=0,0,ABS(E32/D32))</x:f>
        <x:v>0.5</x:v>
      </x:c>
      <x:c r="H32" s="72"/>
      <x:c r="I32" s="73"/>
      <x:c r="J32" s="73"/>
      <x:c r="K32" s="74"/>
      <x:c r="L32" s="19" t="n">
        <x:v>1061.2</x:v>
      </x:c>
      <x:c r="M32" s="75"/>
      <x:c r="N32" s="73"/>
      <x:c r="O32" s="76"/>
      <x:c r="P32" s="29"/>
      <x:c r="Q32" s="30"/>
      <x:c r="R32" s="31"/>
      <x:c r="S32" s="31"/>
    </x:row>
    <x:row r="33" spans="1:19" s="7" customFormat="1" hidden="1" outlineLevel="2" collapsed="1" x14ac:dyDescent="0.2">
      <x:c r="A33" s="5"/>
      <x:c r="B33" s="45" t="inlineStr">
        <x:is>
          <x:t>H808</x:t>
        </x:is>
      </x:c>
      <x:c r="C33" s="46" t="inlineStr">
        <x:is>
          <x:t>Tyszek, Robert</x:t>
        </x:is>
      </x:c>
      <x:c r="D33" s="45" t="n">
        <x:v>168</x:v>
      </x:c>
      <x:c r="E33" s="19" t="n">
        <x:v>28.50</x:v>
      </x:c>
      <x:c r="F33" s="19" t="n">
        <x:f>MAX(D33-E33, 0)</x:f>
        <x:v>1</x:v>
      </x:c>
      <x:c r="G33" s="47" t="n">
        <x:f>IF(D33=0,0,ABS(E33/D33))</x:f>
        <x:v>0.5</x:v>
      </x:c>
      <x:c r="H33" s="72"/>
      <x:c r="I33" s="73"/>
      <x:c r="J33" s="73"/>
      <x:c r="K33" s="74"/>
      <x:c r="L33" s="19" t="n">
        <x:v>800.8</x:v>
      </x:c>
      <x:c r="M33" s="57"/>
      <x:c r="N33" s="54"/>
      <x:c r="O33" s="71"/>
      <x:c r="P33" s="29"/>
      <x:c r="Q33" s="30"/>
      <x:c r="R33" s="31"/>
      <x:c r="S33" s="31"/>
    </x:row>
    <x:row r="34" spans="1:19" s="7" customFormat="1" outlineLevel="1" x14ac:dyDescent="0.2">
      <x:c r="A34" s="5"/>
      <x:c r="B34" s="58" t="inlineStr">
        <x:v>49</x:v>
        <x:is>
          <x:t>Total H808</x:t>
        </x:is>
      </x:c>
      <x:c r="C34" s="59"/>
      <x:c r="D34" s="58" t="n">
        <x:v>1344</x:v>
      </x:c>
      <x:c r="E34" s="60" t="n">
        <x:v>480.00</x:v>
      </x:c>
      <x:c r="F34" s="60" t="n">
        <x:f>MAX(D34-E34, 0)</x:f>
        <x:v>1</x:v>
      </x:c>
      <x:c r="G34" s="61" t="n">
        <x:f>IF(D34=0,0,ABS(E34/D34))</x:f>
        <x:v>0.5</x:v>
      </x:c>
      <x:c r="H34" s="58" t="n">
        <x:v>17635.2</x:v>
      </x:c>
      <x:c r="I34" s="60" t="n">
        <x:v>17690.80</x:v>
      </x:c>
      <x:c r="J34" s="62" t="n">
        <x:f>IF(H34=0,"No plan at start",I34/H34)</x:f>
        <x:v>2</x:v>
      </x:c>
      <x:c r="K34" s="60" t="n">
        <x:f>MAX(H34-I34, 0)</x:f>
        <x:v>0</x:v>
      </x:c>
      <x:c r="L34" s="60" t="n">
        <x:v>6042.0</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J500</x:t>
        </x:is>
      </x:c>
      <x:c r="C35" s="46" t="inlineStr">
        <x:is>
          <x:t>Balos, Paulina</x:t>
        </x:is>
      </x:c>
      <x:c r="D35" s="45" t="n">
        <x:v>151.2</x:v>
      </x:c>
      <x:c r="E35" s="19" t="n">
        <x:v>83.0</x:v>
      </x:c>
      <x:c r="F35" s="19" t="n">
        <x:f>MAX(D35-E35, 0)</x:f>
        <x:v>1</x:v>
      </x:c>
      <x:c r="G35" s="47" t="n">
        <x:f>IF(D35=0,0,ABS(E35/D35))</x:f>
        <x:v>0.5</x:v>
      </x:c>
      <x:c r="H35" s="52"/>
      <x:c r="I35" s="50"/>
      <x:c r="J35" s="50"/>
      <x:c r="K35" s="51"/>
      <x:c r="L35" s="19" t="n">
        <x:v>589.6</x:v>
      </x:c>
      <x:c r="M35" s="56"/>
      <x:c r="N35" s="50"/>
      <x:c r="O35" s="70"/>
      <x:c r="P35" s="29"/>
      <x:c r="Q35" s="30"/>
      <x:c r="R35" s="31"/>
      <x:c r="S35" s="31"/>
    </x:row>
    <x:row r="36" spans="1:19" s="7" customFormat="1" hidden="1" outlineLevel="2" collapsed="1" x14ac:dyDescent="0.2">
      <x:c r="A36" s="5"/>
      <x:c r="B36" s="45" t="inlineStr">
        <x:is>
          <x:t>J500</x:t>
        </x:is>
      </x:c>
      <x:c r="C36" s="46" t="inlineStr">
        <x:is>
          <x:t>Gregorek, Elzbieta</x:t>
        </x:is>
      </x:c>
      <x:c r="D36" s="45" t="n">
        <x:v>112.63</x:v>
      </x:c>
      <x:c r="E36" s="19" t="n">
        <x:v>83.0</x:v>
      </x:c>
      <x:c r="F36" s="19" t="n">
        <x:f>MAX(D36-E36, 0)</x:f>
        <x:v>1</x:v>
      </x:c>
      <x:c r="G36" s="47" t="n">
        <x:f>IF(D36=0,0,ABS(E36/D36))</x:f>
        <x:v>0.5</x:v>
      </x:c>
      <x:c r="H36" s="72"/>
      <x:c r="I36" s="73"/>
      <x:c r="J36" s="73"/>
      <x:c r="K36" s="74"/>
      <x:c r="L36" s="19" t="n">
        <x:v>196.8</x:v>
      </x:c>
      <x:c r="M36" s="75"/>
      <x:c r="N36" s="73"/>
      <x:c r="O36" s="76"/>
      <x:c r="P36" s="29"/>
      <x:c r="Q36" s="30"/>
      <x:c r="R36" s="31"/>
      <x:c r="S36" s="31"/>
    </x:row>
    <x:row r="37" spans="1:19" s="7" customFormat="1" hidden="1" outlineLevel="2" collapsed="1" x14ac:dyDescent="0.2">
      <x:c r="A37" s="5"/>
      <x:c r="B37" s="45" t="inlineStr">
        <x:is>
          <x:t>J500</x:t>
        </x:is>
      </x:c>
      <x:c r="C37" s="46" t="inlineStr">
        <x:is>
          <x:t>Grzywacz, Tomasz</x:t>
        </x:is>
      </x:c>
      <x:c r="D37" s="45" t="n">
        <x:v>146.22</x:v>
      </x:c>
      <x:c r="E37" s="19" t="n">
        <x:v>80.00</x:v>
      </x:c>
      <x:c r="F37" s="19" t="n">
        <x:f>MAX(D37-E37, 0)</x:f>
        <x:v>1</x:v>
      </x:c>
      <x:c r="G37" s="47" t="n">
        <x:f>IF(D37=0,0,ABS(E37/D37))</x:f>
        <x:v>0.5</x:v>
      </x:c>
      <x:c r="H37" s="72"/>
      <x:c r="I37" s="73"/>
      <x:c r="J37" s="73"/>
      <x:c r="K37" s="74"/>
      <x:c r="L37" s="19" t="n">
        <x:v>469.6</x:v>
      </x:c>
      <x:c r="M37" s="75"/>
      <x:c r="N37" s="73"/>
      <x:c r="O37" s="76"/>
      <x:c r="P37" s="29"/>
      <x:c r="Q37" s="30"/>
      <x:c r="R37" s="31"/>
      <x:c r="S37" s="31"/>
    </x:row>
    <x:row r="38" spans="1:19" s="7" customFormat="1" hidden="1" outlineLevel="2" collapsed="1" x14ac:dyDescent="0.2">
      <x:c r="A38" s="5"/>
      <x:c r="B38" s="45" t="inlineStr">
        <x:is>
          <x:t>J500</x:t>
        </x:is>
      </x:c>
      <x:c r="C38" s="46" t="inlineStr">
        <x:is>
          <x:t>Hofman, Aleksandra</x:t>
        </x:is>
      </x:c>
      <x:c r="D38" s="45" t="n">
        <x:v>120.65</x:v>
      </x:c>
      <x:c r="E38" s="19" t="n">
        <x:v>50.0</x:v>
      </x:c>
      <x:c r="F38" s="19" t="n">
        <x:f>MAX(D38-E38, 0)</x:f>
        <x:v>1</x:v>
      </x:c>
      <x:c r="G38" s="47" t="n">
        <x:f>IF(D38=0,0,ABS(E38/D38))</x:f>
        <x:v>0.5</x:v>
      </x:c>
      <x:c r="H38" s="72"/>
      <x:c r="I38" s="73"/>
      <x:c r="J38" s="73"/>
      <x:c r="K38" s="74"/>
      <x:c r="L38" s="19" t="n">
        <x:v>154.0</x:v>
      </x:c>
      <x:c r="M38" s="75"/>
      <x:c r="N38" s="73"/>
      <x:c r="O38" s="76"/>
      <x:c r="P38" s="29"/>
      <x:c r="Q38" s="30"/>
      <x:c r="R38" s="31"/>
      <x:c r="S38" s="31"/>
    </x:row>
    <x:row r="39" spans="1:19" s="7" customFormat="1" hidden="1" outlineLevel="2" collapsed="1" x14ac:dyDescent="0.2">
      <x:c r="A39" s="5"/>
      <x:c r="B39" s="45" t="inlineStr">
        <x:is>
          <x:t>J500</x:t>
        </x:is>
      </x:c>
      <x:c r="C39" s="46" t="inlineStr">
        <x:is>
          <x:t>Mirecka-Glowacka, Justyna</x:t>
        </x:is>
      </x:c>
      <x:c r="D39" s="45" t="n">
        <x:v>151.2</x:v>
      </x:c>
      <x:c r="E39" s="19" t="n">
        <x:v>72.00</x:v>
      </x:c>
      <x:c r="F39" s="19" t="n">
        <x:f>MAX(D39-E39, 0)</x:f>
        <x:v>1</x:v>
      </x:c>
      <x:c r="G39" s="47" t="n">
        <x:f>IF(D39=0,0,ABS(E39/D39))</x:f>
        <x:v>0.5</x:v>
      </x:c>
      <x:c r="H39" s="72"/>
      <x:c r="I39" s="73"/>
      <x:c r="J39" s="73"/>
      <x:c r="K39" s="74"/>
      <x:c r="L39" s="19" t="n">
        <x:v>572.0</x:v>
      </x:c>
      <x:c r="M39" s="75"/>
      <x:c r="N39" s="73"/>
      <x:c r="O39" s="76"/>
      <x:c r="P39" s="29"/>
      <x:c r="Q39" s="30"/>
      <x:c r="R39" s="31"/>
      <x:c r="S39" s="31"/>
    </x:row>
    <x:row r="40" spans="1:19" s="7" customFormat="1" hidden="1" outlineLevel="2" collapsed="1" x14ac:dyDescent="0.2">
      <x:c r="A40" s="5"/>
      <x:c r="B40" s="45" t="inlineStr">
        <x:is>
          <x:t>J500</x:t>
        </x:is>
      </x:c>
      <x:c r="C40" s="46" t="inlineStr">
        <x:is>
          <x:t>Nieciecka, Edyta</x:t>
        </x:is>
      </x:c>
      <x:c r="D40" s="45" t="n">
        <x:v>160</x:v>
      </x:c>
      <x:c r="E40" s="19" t="n">
        <x:v>60.75</x:v>
      </x:c>
      <x:c r="F40" s="19" t="n">
        <x:f>MAX(D40-E40, 0)</x:f>
        <x:v>1</x:v>
      </x:c>
      <x:c r="G40" s="47" t="n">
        <x:f>IF(D40=0,0,ABS(E40/D40))</x:f>
        <x:v>0.5</x:v>
      </x:c>
      <x:c r="H40" s="72"/>
      <x:c r="I40" s="73"/>
      <x:c r="J40" s="73"/>
      <x:c r="K40" s="74"/>
      <x:c r="L40" s="19" t="n">
        <x:v>326</x:v>
      </x:c>
      <x:c r="M40" s="75"/>
      <x:c r="N40" s="73"/>
      <x:c r="O40" s="76"/>
      <x:c r="P40" s="29"/>
      <x:c r="Q40" s="30"/>
      <x:c r="R40" s="31"/>
      <x:c r="S40" s="31"/>
    </x:row>
    <x:row r="41" spans="1:19" s="7" customFormat="1" hidden="1" outlineLevel="2" collapsed="1" x14ac:dyDescent="0.2">
      <x:c r="A41" s="5"/>
      <x:c r="B41" s="45" t="inlineStr">
        <x:is>
          <x:t>J500</x:t>
        </x:is>
      </x:c>
      <x:c r="C41" s="46" t="inlineStr">
        <x:is>
          <x:t>Pajewski, Marta</x:t>
        </x:is>
      </x:c>
      <x:c r="D41" s="45" t="n">
        <x:v>151.2</x:v>
      </x:c>
      <x:c r="E41" s="19" t="n">
        <x:v>84.75</x:v>
      </x:c>
      <x:c r="F41" s="19" t="n">
        <x:f>MAX(D41-E41, 0)</x:f>
        <x:v>1</x:v>
      </x:c>
      <x:c r="G41" s="47" t="n">
        <x:f>IF(D41=0,0,ABS(E41/D41))</x:f>
        <x:v>0.5</x:v>
      </x:c>
      <x:c r="H41" s="72"/>
      <x:c r="I41" s="73"/>
      <x:c r="J41" s="73"/>
      <x:c r="K41" s="74"/>
      <x:c r="L41" s="19" t="n">
        <x:v>668.4</x:v>
      </x:c>
      <x:c r="M41" s="75"/>
      <x:c r="N41" s="73"/>
      <x:c r="O41" s="76"/>
      <x:c r="P41" s="29"/>
      <x:c r="Q41" s="30"/>
      <x:c r="R41" s="31"/>
      <x:c r="S41" s="31"/>
    </x:row>
    <x:row r="42" spans="1:19" s="7" customFormat="1" hidden="1" outlineLevel="2" collapsed="1" x14ac:dyDescent="0.2">
      <x:c r="A42" s="5"/>
      <x:c r="B42" s="45" t="inlineStr">
        <x:is>
          <x:t>J500</x:t>
        </x:is>
      </x:c>
      <x:c r="C42" s="46" t="inlineStr">
        <x:is>
          <x:t>Piela, Anna</x:t>
        </x:is>
      </x:c>
      <x:c r="D42" s="45" t="n">
        <x:v>158.43</x:v>
      </x:c>
      <x:c r="E42" s="19" t="n">
        <x:v>78.50</x:v>
      </x:c>
      <x:c r="F42" s="19" t="n">
        <x:f>MAX(D42-E42, 0)</x:f>
        <x:v>1</x:v>
      </x:c>
      <x:c r="G42" s="47" t="n">
        <x:f>IF(D42=0,0,ABS(E42/D42))</x:f>
        <x:v>0.5</x:v>
      </x:c>
      <x:c r="H42" s="72"/>
      <x:c r="I42" s="73"/>
      <x:c r="J42" s="73"/>
      <x:c r="K42" s="74"/>
      <x:c r="L42" s="19" t="n">
        <x:v>437.2</x:v>
      </x:c>
      <x:c r="M42" s="75"/>
      <x:c r="N42" s="73"/>
      <x:c r="O42" s="76"/>
      <x:c r="P42" s="29"/>
      <x:c r="Q42" s="30"/>
      <x:c r="R42" s="31"/>
      <x:c r="S42" s="31"/>
    </x:row>
    <x:row r="43" spans="1:19" s="7" customFormat="1" hidden="1" outlineLevel="2" collapsed="1" x14ac:dyDescent="0.2">
      <x:c r="A43" s="5"/>
      <x:c r="B43" s="45" t="inlineStr">
        <x:is>
          <x:t>J500</x:t>
        </x:is>
      </x:c>
      <x:c r="C43" s="46" t="inlineStr">
        <x:is>
          <x:t>Staszewska, Urszula</x:t>
        </x:is>
      </x:c>
      <x:c r="D43" s="45" t="n">
        <x:v>147.57</x:v>
      </x:c>
      <x:c r="E43" s="19" t="n">
        <x:v>100.0</x:v>
      </x:c>
      <x:c r="F43" s="19" t="n">
        <x:f>MAX(D43-E43, 0)</x:f>
        <x:v>1</x:v>
      </x:c>
      <x:c r="G43" s="47" t="n">
        <x:f>IF(D43=0,0,ABS(E43/D43))</x:f>
        <x:v>0.5</x:v>
      </x:c>
      <x:c r="H43" s="72"/>
      <x:c r="I43" s="73"/>
      <x:c r="J43" s="73"/>
      <x:c r="K43" s="74"/>
      <x:c r="L43" s="19" t="n">
        <x:v>670.8</x:v>
      </x:c>
      <x:c r="M43" s="57"/>
      <x:c r="N43" s="54"/>
      <x:c r="O43" s="71"/>
      <x:c r="P43" s="29"/>
      <x:c r="Q43" s="30"/>
      <x:c r="R43" s="31"/>
      <x:c r="S43" s="31"/>
    </x:row>
    <x:row r="44" spans="1:19" s="7" customFormat="1" outlineLevel="1" x14ac:dyDescent="0.2">
      <x:c r="A44" s="5"/>
      <x:c r="B44" s="58" t="inlineStr">
        <x:v>49</x:v>
        <x:is>
          <x:t>Total J500</x:t>
        </x:is>
      </x:c>
      <x:c r="C44" s="59"/>
      <x:c r="D44" s="58" t="n">
        <x:v>1299.10</x:v>
      </x:c>
      <x:c r="E44" s="60" t="n">
        <x:v>692.00</x:v>
      </x:c>
      <x:c r="F44" s="60" t="n">
        <x:f>MAX(D44-E44, 0)</x:f>
        <x:v>1</x:v>
      </x:c>
      <x:c r="G44" s="61" t="n">
        <x:f>IF(D44=0,0,ABS(E44/D44))</x:f>
        <x:v>0.5</x:v>
      </x:c>
      <x:c r="H44" s="58" t="n">
        <x:v>10606.0</x:v>
      </x:c>
      <x:c r="I44" s="60" t="n">
        <x:v>12963.33</x:v>
      </x:c>
      <x:c r="J44" s="62" t="n">
        <x:f>IF(H44=0,"No plan at start",I44/H44)</x:f>
        <x:v>2</x:v>
      </x:c>
      <x:c r="K44" s="60" t="n">
        <x:f>MAX(H44-I44, 0)</x:f>
        <x:v>0</x:v>
      </x:c>
      <x:c r="L44" s="60" t="n">
        <x:v>4084.4</x:v>
      </x:c>
      <x:c r="M44" s="60" t="n">
        <x:f>I44+L44</x:f>
        <x:v>3</x:v>
      </x:c>
      <x:c r="N44" s="60" t="n">
        <x:f>M44-H44</x:f>
        <x:v>2</x:v>
      </x:c>
      <x:c r="O44" s="61" t="n">
        <x:f>IF(H44=0,"No plan at start",M44/H44)</x:f>
        <x:v>3</x:v>
      </x:c>
      <x:c r="P44" s="29"/>
      <x:c r="Q44" s="30"/>
      <x:c r="R44" s="31"/>
      <x:c r="S44" s="31"/>
    </x:row>
    <x:row r="45" spans="1:19" s="7" customFormat="1" hidden="1" outlineLevel="2" collapsed="1" x14ac:dyDescent="0.2">
      <x:c r="A45" s="5"/>
      <x:c r="B45" s="45" t="inlineStr">
        <x:is>
          <x:t>K358</x:t>
        </x:is>
      </x:c>
      <x:c r="C45" s="46" t="inlineStr">
        <x:is>
          <x:t>Cuch, Mariusz</x:t>
        </x:is>
      </x:c>
      <x:c r="D45" s="45" t="n">
        <x:v>0</x:v>
      </x:c>
      <x:c r="E45" s="19" t="n">
        <x:v>59.25</x:v>
      </x:c>
      <x:c r="F45" s="19" t="n">
        <x:f>MAX(D45-E45, 0)</x:f>
        <x:v>1</x:v>
      </x:c>
      <x:c r="G45" s="47" t="n">
        <x:f>IF(D45=0,0,ABS(E45/D45))</x:f>
        <x:v>0.5</x:v>
      </x:c>
      <x:c r="H45" s="52"/>
      <x:c r="I45" s="50"/>
      <x:c r="J45" s="50"/>
      <x:c r="K45" s="51"/>
      <x:c r="L45" s="19" t="n">
        <x:v>0</x:v>
      </x:c>
      <x:c r="M45" s="56"/>
      <x:c r="N45" s="50"/>
      <x:c r="O45" s="70"/>
      <x:c r="P45" s="29"/>
      <x:c r="Q45" s="30"/>
      <x:c r="R45" s="31"/>
      <x:c r="S45" s="31"/>
    </x:row>
    <x:row r="46" spans="1:19" s="7" customFormat="1" ht="13.5" outlineLevel="1" thickBot="1" x14ac:dyDescent="0.25">
      <x:c r="A46" s="5"/>
      <x:c r="B46" s="63" t="inlineStr">
        <x:v>49</x:v>
        <x:is>
          <x:t>Total K358</x:t>
        </x:is>
      </x:c>
      <x:c r="C46" s="64"/>
      <x:c r="D46" s="63" t="n">
        <x:v>0</x:v>
      </x:c>
      <x:c r="E46" s="65" t="n">
        <x:v>59.25</x:v>
      </x:c>
      <x:c r="F46" s="65" t="n">
        <x:f>MAX(D46-E46, 0)</x:f>
        <x:v>0</x:v>
      </x:c>
      <x:c r="G46" s="66" t="n">
        <x:f>IF(D46=0,0,ABS(E46/D46))</x:f>
        <x:v>0</x:v>
      </x:c>
      <x:c r="H46" s="63" t="n">
        <x:v>0</x:v>
      </x:c>
      <x:c r="I46" s="65" t="n">
        <x:v>115.75</x:v>
      </x:c>
      <x:c r="J46" s="67" t="n">
        <x:f>IF(H46=0,"No plan at start",I46/H46)</x:f>
        <x:v>0.5</x:v>
      </x:c>
      <x:c r="K46" s="65" t="n">
        <x:f>MAX(H46-I46, 0)</x:f>
        <x:v>1</x:v>
      </x:c>
      <x:c r="L46" s="65" t="n">
        <x:v>0</x:v>
      </x:c>
      <x:c r="M46" s="65" t="n">
        <x:f>I46+L46</x:f>
        <x:v>6</x:v>
      </x:c>
      <x:c r="N46" s="65" t="n">
        <x:f>M46-H46</x:f>
        <x:v>4</x:v>
      </x:c>
      <x:c r="O46" s="66" t="n">
        <x:f>IF(H46=0,"No plan at start",M46/H46)</x:f>
        <x:v>3</x:v>
      </x:c>
      <x:c r="P46" s="29"/>
      <x:c r="Q46" s="30"/>
      <x:c r="R46" s="31"/>
      <x:c r="S46" s="31"/>
    </x:row>
    <x:row r="47" x14ac:dyDescent="0.2"/>
    <x:row r="48" x14ac:dyDescent="0.2"/>
    <x:row r="49" spans="1:19" x14ac:dyDescent="0.2">
      <x:c r="B49" s="14" t="s">
        <x:v>30</x:v>
      </x:c>
      <x:c r="C49" s="15"/>
      <x:c r="D49" s="15"/>
      <x:c r="E49" s="15"/>
      <x:c r="F49" s="16"/>
      <x:c r="G49" s="16"/>
      <x:c r="H49" s="17"/>
      <x:c r="I49" s="7"/>
      <x:c r="J49" s="7"/>
      <x:c r="K49" s="18"/>
      <x:c r="L49" s="7"/>
      <x:c r="M49" s="25"/>
      <x:c r="N49" s="7"/>
      <x:c r="O49" s="7"/>
    </x:row>
    <x:row r="50" spans="1:19" ht="13.5" thickBot="1" x14ac:dyDescent="0.25">
      <x:c r="B50" s="7"/>
      <x:c r="C50" s="7"/>
      <x:c r="D50" s="7"/>
      <x:c r="E50" s="7"/>
      <x:c r="F50" s="7"/>
      <x:c r="G50" s="7"/>
      <x:c r="H50" s="7"/>
      <x:c r="I50" s="7"/>
      <x:c r="J50" s="7"/>
      <x:c r="K50" s="7"/>
      <x:c r="L50" s="7"/>
      <x:c r="M50" s="7"/>
      <x:c r="N50" s="7"/>
      <x:c r="O50" s="7"/>
    </x:row>
    <x:row r="51" spans="1:19" x14ac:dyDescent="0.2">
      <x:c r="B51" s="48"/>
      <x:c r="C51" s="49"/>
      <x:c r="D51" s="77" t="s">
        <x:v>39</x:v>
      </x:c>
      <x:c r="E51" s="78"/>
      <x:c r="F51" s="78"/>
      <x:c r="G51" s="79"/>
      <x:c r="H51" s="77" t="s">
        <x:v>40</x:v>
      </x:c>
      <x:c r="I51" s="78"/>
      <x:c r="J51" s="78"/>
      <x:c r="K51" s="78"/>
      <x:c r="L51" s="78"/>
      <x:c r="M51" s="78"/>
      <x:c r="N51" s="78"/>
      <x:c r="O51" s="79"/>
    </x:row>
    <x:row r="52" spans="1:19" x14ac:dyDescent="0.2">
      <x:c r="B52" s="68"/>
      <x:c r="C52" s="69"/>
      <x:c r="D52" s="36" t="s">
        <x:v>2</x:v>
      </x:c>
      <x:c r="E52" s="38" t="s">
        <x:v>3</x:v>
      </x:c>
      <x:c r="F52" s="38" t="s">
        <x:v>44</x:v>
      </x:c>
      <x:c r="G52" s="37" t="s">
        <x:v>41</x:v>
      </x:c>
      <x:c r="H52" s="36" t="s">
        <x:v>20</x:v>
      </x:c>
      <x:c r="I52" s="38" t="s">
        <x:v>34</x:v>
      </x:c>
      <x:c r="J52" s="39" t="s">
        <x:v>35</x:v>
      </x:c>
      <x:c r="K52" s="39" t="s">
        <x:v>36</x:v>
      </x:c>
      <x:c r="L52" s="38" t="s">
        <x:v>19</x:v>
      </x:c>
      <x:c r="M52" s="38" t="s">
        <x:v>37</x:v>
      </x:c>
      <x:c r="N52" s="38" t="s">
        <x:v>22</x:v>
      </x:c>
      <x:c r="O52" s="37" t="s">
        <x:v>23</x:v>
      </x:c>
    </x:row>
    <x:row r="53" spans="1:19" ht="76.5" x14ac:dyDescent="0.2">
      <x:c r="B53" s="40" t="s">
        <x:v>14</x:v>
      </x:c>
      <x:c r="C53" s="41" t="s">
        <x:v>28</x:v>
      </x:c>
      <x:c r="D53" s="40" t="s">
        <x:v>45</x:v>
      </x:c>
      <x:c r="E53" s="42" t="s">
        <x:v>15</x:v>
      </x:c>
      <x:c r="F53" s="42" t="s">
        <x:v>42</x:v>
      </x:c>
      <x:c r="G53" s="41" t="s">
        <x:v>43</x:v>
      </x:c>
      <x:c r="H53" s="40" t="s">
        <x:v>46</x:v>
      </x:c>
      <x:c r="I53" s="42" t="s">
        <x:v>31</x:v>
      </x:c>
      <x:c r="J53" s="43" t="s">
        <x:v>47</x:v>
      </x:c>
      <x:c r="K53" s="43" t="s">
        <x:v>17</x:v>
      </x:c>
      <x:c r="L53" s="42" t="s">
        <x:v>48</x:v>
      </x:c>
      <x:c r="M53" s="42" t="s">
        <x:v>32</x:v>
      </x:c>
      <x:c r="N53" s="42" t="s">
        <x:v>33</x:v>
      </x:c>
      <x:c r="O53" s="41" t="s">
        <x:v>24</x:v>
      </x:c>
    </x:row>
    <x:row r="54" spans="1:19" hidden="1" outlineLevel="2" collapsed="1" x14ac:dyDescent="0.2">
      <x:c r="B54" s="45" t="inlineStr">
        <x:is>
          <x:t>E872</x:t>
        </x:is>
      </x:c>
      <x:c r="C54" s="46" t="inlineStr">
        <x:is>
          <x:t>Kruk, Katarzyna</x:t>
        </x:is>
      </x:c>
      <x:c r="D54" s="45" t="n">
        <x:v>2056.32</x:v>
      </x:c>
      <x:c r="E54" s="19" t="n">
        <x:v>972.1008</x:v>
      </x:c>
      <x:c r="F54" s="19" t="n">
        <x:f>MAX(D54-E54, 0)</x:f>
        <x:v>1</x:v>
      </x:c>
      <x:c r="G54" s="47" t="n">
        <x:f>IF(D54=0,0,ABS(E54/D54))</x:f>
        <x:v>0.5</x:v>
      </x:c>
      <x:c r="H54" s="52"/>
      <x:c r="I54" s="50"/>
      <x:c r="J54" s="50"/>
      <x:c r="K54" s="51"/>
      <x:c r="L54" s="19" t="n">
        <x:v>3226.464</x:v>
      </x:c>
      <x:c r="M54" s="50"/>
      <x:c r="N54" s="50"/>
      <x:c r="O54" s="70"/>
    </x:row>
    <x:row r="55" spans="1:19" hidden="1" outlineLevel="2" collapsed="1" x14ac:dyDescent="0.2">
      <x:c r="B55" s="45" t="inlineStr">
        <x:is>
          <x:t>E872</x:t>
        </x:is>
      </x:c>
      <x:c r="C55" s="46" t="inlineStr">
        <x:is>
          <x:t>Pajak, Beata</x:t>
        </x:is>
      </x:c>
      <x:c r="D55" s="45" t="n">
        <x:v>771.12</x:v>
      </x:c>
      <x:c r="E55" s="19" t="n">
        <x:v>55.08</x:v>
      </x:c>
      <x:c r="F55" s="19" t="n">
        <x:f>MAX(D55-E55, 0)</x:f>
        <x:v>1</x:v>
      </x:c>
      <x:c r="G55" s="47" t="n">
        <x:f>IF(D55=0,0,ABS(E55/D55))</x:f>
        <x:v>0.5</x:v>
      </x:c>
      <x:c r="H55" s="72"/>
      <x:c r="I55" s="73"/>
      <x:c r="J55" s="73"/>
      <x:c r="K55" s="74"/>
      <x:c r="L55" s="19" t="n">
        <x:v>0</x:v>
      </x:c>
      <x:c r="M55" s="73"/>
      <x:c r="N55" s="73"/>
      <x:c r="O55" s="76"/>
    </x:row>
    <x:row r="56" spans="1:19" hidden="1" outlineLevel="2" collapsed="1" x14ac:dyDescent="0.2">
      <x:c r="B56" s="45" t="inlineStr">
        <x:is>
          <x:t>E872</x:t>
        </x:is>
      </x:c>
      <x:c r="C56" s="46" t="inlineStr">
        <x:is>
          <x:t>Skowyrski, Szymon</x:t>
        </x:is>
      </x:c>
      <x:c r="D56" s="45" t="n">
        <x:v>1747.2</x:v>
      </x:c>
      <x:c r="E56" s="19" t="n">
        <x:v>2262</x:v>
      </x:c>
      <x:c r="F56" s="19" t="n">
        <x:f>MAX(D56-E56, 0)</x:f>
        <x:v>1</x:v>
      </x:c>
      <x:c r="G56" s="47" t="n">
        <x:f>IF(D56=0,0,ABS(E56/D56))</x:f>
        <x:v>0.5</x:v>
      </x:c>
      <x:c r="H56" s="72"/>
      <x:c r="I56" s="73"/>
      <x:c r="J56" s="73"/>
      <x:c r="K56" s="74"/>
      <x:c r="L56" s="19" t="n">
        <x:v>8590.4</x:v>
      </x:c>
      <x:c r="M56" s="73"/>
      <x:c r="N56" s="73"/>
      <x:c r="O56" s="76"/>
    </x:row>
    <x:row r="57" spans="1:19" hidden="1" outlineLevel="2" collapsed="1" x14ac:dyDescent="0.2">
      <x:c r="B57" s="45" t="inlineStr">
        <x:is>
          <x:t>E872</x:t>
        </x:is>
      </x:c>
      <x:c r="C57" s="46" t="inlineStr">
        <x:is>
          <x:t>Smela-Baszkiewicz, Agata</x:t>
        </x:is>
      </x:c>
      <x:c r="D57" s="45" t="n">
        <x:v>4887.5</x:v>
      </x:c>
      <x:c r="E57" s="19" t="n">
        <x:v>2641.286458333332</x:v>
      </x:c>
      <x:c r="F57" s="19" t="n">
        <x:f>MAX(D57-E57, 0)</x:f>
        <x:v>1</x:v>
      </x:c>
      <x:c r="G57" s="47" t="n">
        <x:f>IF(D57=0,0,ABS(E57/D57))</x:f>
        <x:v>0.5</x:v>
      </x:c>
      <x:c r="H57" s="72"/>
      <x:c r="I57" s="73"/>
      <x:c r="J57" s="73"/>
      <x:c r="K57" s="74"/>
      <x:c r="L57" s="19" t="n">
        <x:v>18223.39285714286</x:v>
      </x:c>
      <x:c r="M57" s="73"/>
      <x:c r="N57" s="73"/>
      <x:c r="O57" s="76"/>
    </x:row>
    <x:row r="58" spans="1:19" hidden="1" outlineLevel="2" collapsed="1" x14ac:dyDescent="0.2">
      <x:c r="B58" s="45" t="inlineStr">
        <x:is>
          <x:t>E872</x:t>
        </x:is>
      </x:c>
      <x:c r="C58" s="46" t="inlineStr">
        <x:is>
          <x:t>Wisniewska, Daria</x:t>
        </x:is>
      </x:c>
      <x:c r="D58" s="45" t="n">
        <x:v>1310.4</x:v>
      </x:c>
      <x:c r="E58" s="19" t="n">
        <x:v>1813.5</x:v>
      </x:c>
      <x:c r="F58" s="19" t="n">
        <x:f>MAX(D58-E58, 0)</x:f>
        <x:v>1</x:v>
      </x:c>
      <x:c r="G58" s="47" t="n">
        <x:f>IF(D58=0,0,ABS(E58/D58))</x:f>
        <x:v>0.5</x:v>
      </x:c>
      <x:c r="H58" s="53"/>
      <x:c r="I58" s="54"/>
      <x:c r="J58" s="54"/>
      <x:c r="K58" s="55"/>
      <x:c r="L58" s="19" t="n">
        <x:v>7259.2</x:v>
      </x:c>
      <x:c r="M58" s="54"/>
      <x:c r="N58" s="54"/>
      <x:c r="O58" s="71"/>
    </x:row>
    <x:row r="59" spans="1:19" outlineLevel="1" x14ac:dyDescent="0.2">
      <x:c r="B59" s="58" t="inlineStr">
        <x:v>49</x:v>
        <x:is>
          <x:t>Total E872</x:t>
        </x:is>
      </x:c>
      <x:c r="C59" s="59"/>
      <x:c r="D59" s="58" t="n">
        <x:v>10772.54</x:v>
      </x:c>
      <x:c r="E59" s="60" t="n">
        <x:v>7743.967258333332</x:v>
      </x:c>
      <x:c r="F59" s="60" t="n">
        <x:f>MAX(D59-E59, 0)</x:f>
        <x:v>1</x:v>
      </x:c>
      <x:c r="G59" s="61" t="n">
        <x:f>IF(D59=0,0,ABS(E59/D59))</x:f>
        <x:v>0.5</x:v>
      </x:c>
      <x:c r="H59" s="58" t="n">
        <x:v>234020.8</x:v>
      </x:c>
      <x:c r="I59" s="60" t="n">
        <x:v>331762.70225833332422</x:v>
      </x:c>
      <x:c r="J59" s="62" t="n">
        <x:f>IF(H59=0,"No plan at start",I59/H59)</x:f>
        <x:v>2</x:v>
      </x:c>
      <x:c r="K59" s="60" t="n">
        <x:f>MAX(H59-I59, 0)</x:f>
        <x:v>0</x:v>
      </x:c>
      <x:c r="L59" s="60" t="n">
        <x:v>37299.45685714286</x:v>
      </x:c>
      <x:c r="M59" s="60" t="n">
        <x:f>I59+L59</x:f>
        <x:v>3</x:v>
      </x:c>
      <x:c r="N59" s="60" t="n">
        <x:f>M59-H59</x:f>
        <x:v>2</x:v>
      </x:c>
      <x:c r="O59" s="61" t="n">
        <x:f>IF(H59=0,"No plan at start",M59/H59)</x:f>
        <x:v>3</x:v>
      </x:c>
    </x:row>
    <x:row r="60" spans="1:19" hidden="1" outlineLevel="2" collapsed="1" x14ac:dyDescent="0.2">
      <x:c r="B60" s="45" t="inlineStr">
        <x:is>
          <x:t>H204</x:t>
        </x:is>
      </x:c>
      <x:c r="C60" s="46" t="inlineStr">
        <x:is>
          <x:t>Tyszek, Robert</x:t>
        </x:is>
      </x:c>
      <x:c r="D60" s="45" t="n">
        <x:v>0</x:v>
      </x:c>
      <x:c r="E60" s="19" t="n">
        <x:v>536.309523809524</x:v>
      </x:c>
      <x:c r="F60" s="19" t="n">
        <x:f>MAX(D60-E60, 0)</x:f>
        <x:v>1</x:v>
      </x:c>
      <x:c r="G60" s="47" t="n">
        <x:f>IF(D60=0,0,ABS(E60/D60))</x:f>
        <x:v>0.5</x:v>
      </x:c>
      <x:c r="H60" s="52"/>
      <x:c r="I60" s="50"/>
      <x:c r="J60" s="50"/>
      <x:c r="K60" s="51"/>
      <x:c r="L60" s="19" t="n">
        <x:v>0</x:v>
      </x:c>
      <x:c r="M60" s="50"/>
      <x:c r="N60" s="50"/>
      <x:c r="O60" s="70"/>
    </x:row>
    <x:row r="61" spans="1:19" outlineLevel="1" x14ac:dyDescent="0.2">
      <x:c r="B61" s="58" t="inlineStr">
        <x:v>49</x:v>
        <x:is>
          <x:t>Total H204</x:t>
        </x:is>
      </x:c>
      <x:c r="C61" s="59"/>
      <x:c r="D61" s="58" t="n">
        <x:v>0</x:v>
      </x:c>
      <x:c r="E61" s="60" t="n">
        <x:v>536.309523809524</x:v>
      </x:c>
      <x:c r="F61" s="60" t="n">
        <x:f>MAX(D61-E61, 0)</x:f>
        <x:v>1</x:v>
      </x:c>
      <x:c r="G61" s="61" t="n">
        <x:f>IF(D61=0,0,ABS(E61/D61))</x:f>
        <x:v>0.5</x:v>
      </x:c>
      <x:c r="H61" s="58" t="n">
        <x:v>15900</x:v>
      </x:c>
      <x:c r="I61" s="60" t="n">
        <x:v>130599.3358333333361</x:v>
      </x:c>
      <x:c r="J61" s="62" t="n">
        <x:f>IF(H61=0,"No plan at start",I61/H61)</x:f>
        <x:v>2</x:v>
      </x:c>
      <x:c r="K61" s="60" t="n">
        <x:f>MAX(H61-I61, 0)</x:f>
        <x:v>0</x:v>
      </x:c>
      <x:c r="L61" s="60" t="n">
        <x:v>0</x:v>
      </x:c>
      <x:c r="M61" s="60" t="n">
        <x:f>I61+L61</x:f>
        <x:v>3</x:v>
      </x:c>
      <x:c r="N61" s="60" t="n">
        <x:f>M61-H61</x:f>
        <x:v>2</x:v>
      </x:c>
      <x:c r="O61" s="61" t="n">
        <x:f>IF(H61=0,"No plan at start",M61/H61)</x:f>
        <x:v>3</x:v>
      </x:c>
    </x:row>
    <x:row r="62" spans="1:19" hidden="1" outlineLevel="2" collapsed="1" x14ac:dyDescent="0.2">
      <x:c r="B62" s="45" t="inlineStr">
        <x:is>
          <x:t>H808</x:t>
        </x:is>
      </x:c>
      <x:c r="C62" s="46" t="inlineStr">
        <x:is>
          <x:t>Grzywacz, Tomasz</x:t>
        </x:is>
      </x:c>
      <x:c r="D62" s="45" t="n">
        <x:v>0</x:v>
      </x:c>
      <x:c r="E62" s="19" t="n">
        <x:v>584.37499999999952</x:v>
      </x:c>
      <x:c r="F62" s="19" t="n">
        <x:f>MAX(D62-E62, 0)</x:f>
        <x:v>1</x:v>
      </x:c>
      <x:c r="G62" s="47" t="n">
        <x:f>IF(D62=0,0,ABS(E62/D62))</x:f>
        <x:v>0.5</x:v>
      </x:c>
      <x:c r="H62" s="52"/>
      <x:c r="I62" s="50"/>
      <x:c r="J62" s="50"/>
      <x:c r="K62" s="51"/>
      <x:c r="L62" s="19" t="n">
        <x:v>1044.285714285714</x:v>
      </x:c>
      <x:c r="M62" s="50"/>
      <x:c r="N62" s="50"/>
      <x:c r="O62" s="70"/>
    </x:row>
    <x:row r="63" spans="1:19" hidden="1" outlineLevel="2" collapsed="1" x14ac:dyDescent="0.2">
      <x:c r="B63" s="45" t="inlineStr">
        <x:is>
          <x:t>H808</x:t>
        </x:is>
      </x:c>
      <x:c r="C63" s="46" t="inlineStr">
        <x:is>
          <x:t>Jeromin, Milena</x:t>
        </x:is>
      </x:c>
      <x:c r="D63" s="45" t="n">
        <x:v>4368</x:v>
      </x:c>
      <x:c r="E63" s="19" t="n">
        <x:v>1794</x:v>
      </x:c>
      <x:c r="F63" s="19" t="n">
        <x:f>MAX(D63-E63, 0)</x:f>
        <x:v>1</x:v>
      </x:c>
      <x:c r="G63" s="47" t="n">
        <x:f>IF(D63=0,0,ABS(E63/D63))</x:f>
        <x:v>0.5</x:v>
      </x:c>
      <x:c r="H63" s="72"/>
      <x:c r="I63" s="73"/>
      <x:c r="J63" s="73"/>
      <x:c r="K63" s="74"/>
      <x:c r="L63" s="19" t="n">
        <x:v>17076.8</x:v>
      </x:c>
      <x:c r="M63" s="73"/>
      <x:c r="N63" s="73"/>
      <x:c r="O63" s="76"/>
    </x:row>
    <x:row r="64" spans="1:19" hidden="1" outlineLevel="2" collapsed="1" x14ac:dyDescent="0.2">
      <x:c r="B64" s="45" t="inlineStr">
        <x:is>
          <x:t>H808</x:t>
        </x:is>
      </x:c>
      <x:c r="C64" s="46" t="inlineStr">
        <x:is>
          <x:t>Krygowska, Sabina</x:t>
        </x:is>
      </x:c>
      <x:c r="D64" s="45" t="n">
        <x:v>6375</x:v>
      </x:c>
      <x:c r="E64" s="19" t="n">
        <x:v>2295.758928571429</x:v>
      </x:c>
      <x:c r="F64" s="19" t="n">
        <x:f>MAX(D64-E64, 0)</x:f>
        <x:v>1</x:v>
      </x:c>
      <x:c r="G64" s="47" t="n">
        <x:f>IF(D64=0,0,ABS(E64/D64))</x:f>
        <x:v>0.5</x:v>
      </x:c>
      <x:c r="H64" s="72"/>
      <x:c r="I64" s="73"/>
      <x:c r="J64" s="73"/>
      <x:c r="K64" s="74"/>
      <x:c r="L64" s="19" t="n">
        <x:v>72432.14285714285</x:v>
      </x:c>
      <x:c r="M64" s="73"/>
      <x:c r="N64" s="73"/>
      <x:c r="O64" s="76"/>
    </x:row>
    <x:row r="65" spans="1:19" hidden="1" outlineLevel="2" collapsed="1" x14ac:dyDescent="0.2">
      <x:c r="B65" s="45" t="inlineStr">
        <x:is>
          <x:t>H808</x:t>
        </x:is>
      </x:c>
      <x:c r="C65" s="46" t="inlineStr">
        <x:is>
          <x:t>Lebiedowicz-Cuch, Marta</x:t>
        </x:is>
      </x:c>
      <x:c r="D65" s="45" t="n">
        <x:v>4368</x:v>
      </x:c>
      <x:c r="E65" s="19" t="n">
        <x:v>1976.0</x:v>
      </x:c>
      <x:c r="F65" s="19" t="n">
        <x:f>MAX(D65-E65, 0)</x:f>
        <x:v>1</x:v>
      </x:c>
      <x:c r="G65" s="47" t="n">
        <x:f>IF(D65=0,0,ABS(E65/D65))</x:f>
        <x:v>0.5</x:v>
      </x:c>
      <x:c r="H65" s="72"/>
      <x:c r="I65" s="73"/>
      <x:c r="J65" s="73"/>
      <x:c r="K65" s="74"/>
      <x:c r="L65" s="19" t="n">
        <x:v>19905.6</x:v>
      </x:c>
      <x:c r="M65" s="73"/>
      <x:c r="N65" s="73"/>
      <x:c r="O65" s="76"/>
    </x:row>
    <x:row r="66" spans="1:19" hidden="1" outlineLevel="2" collapsed="1" x14ac:dyDescent="0.2">
      <x:c r="B66" s="45" t="inlineStr">
        <x:is>
          <x:t>H808</x:t>
        </x:is>
      </x:c>
      <x:c r="C66" s="46" t="inlineStr">
        <x:is>
          <x:t>Niemyjski, Michal</x:t>
        </x:is>
      </x:c>
      <x:c r="D66" s="45" t="n">
        <x:v>1912.5</x:v>
      </x:c>
      <x:c r="E66" s="19" t="n">
        <x:v>990.4017857142859</x:v>
      </x:c>
      <x:c r="F66" s="19" t="n">
        <x:f>MAX(D66-E66, 0)</x:f>
        <x:v>1</x:v>
      </x:c>
      <x:c r="G66" s="47" t="n">
        <x:f>IF(D66=0,0,ABS(E66/D66))</x:f>
        <x:v>0.5</x:v>
      </x:c>
      <x:c r="H66" s="72"/>
      <x:c r="I66" s="73"/>
      <x:c r="J66" s="73"/>
      <x:c r="K66" s="74"/>
      <x:c r="L66" s="19" t="n">
        <x:v>3679.28571428571</x:v>
      </x:c>
      <x:c r="M66" s="73"/>
      <x:c r="N66" s="73"/>
      <x:c r="O66" s="76"/>
    </x:row>
    <x:row r="67" spans="1:19" hidden="1" outlineLevel="2" collapsed="1" x14ac:dyDescent="0.2">
      <x:c r="B67" s="45" t="inlineStr">
        <x:is>
          <x:t>H808</x:t>
        </x:is>
      </x:c>
      <x:c r="C67" s="46" t="inlineStr">
        <x:is>
          <x:t>Sasinowska, Paulina</x:t>
        </x:is>
      </x:c>
      <x:c r="D67" s="45" t="n">
        <x:v>2427.6</x:v>
      </x:c>
      <x:c r="E67" s="19" t="n">
        <x:v>549.100</x:v>
      </x:c>
      <x:c r="F67" s="19" t="n">
        <x:f>MAX(D67-E67, 0)</x:f>
        <x:v>1</x:v>
      </x:c>
      <x:c r="G67" s="47" t="n">
        <x:f>IF(D67=0,0,ABS(E67/D67))</x:f>
        <x:v>0.5</x:v>
      </x:c>
      <x:c r="H67" s="72"/>
      <x:c r="I67" s="73"/>
      <x:c r="J67" s="73"/>
      <x:c r="K67" s="74"/>
      <x:c r="L67" s="19" t="n">
        <x:v>2427.6</x:v>
      </x:c>
      <x:c r="M67" s="73"/>
      <x:c r="N67" s="73"/>
      <x:c r="O67" s="76"/>
    </x:row>
    <x:row r="68" spans="1:19" hidden="1" outlineLevel="2" collapsed="1" x14ac:dyDescent="0.2">
      <x:c r="B68" s="45" t="inlineStr">
        <x:is>
          <x:t>H808</x:t>
        </x:is>
      </x:c>
      <x:c r="C68" s="46" t="inlineStr">
        <x:is>
          <x:t>Szubski, Szymon</x:t>
        </x:is>
      </x:c>
      <x:c r="D68" s="45" t="n">
        <x:v>2252.5</x:v>
      </x:c>
      <x:c r="E68" s="19" t="n">
        <x:v>1082.6748511904766</x:v>
      </x:c>
      <x:c r="F68" s="19" t="n">
        <x:f>MAX(D68-E68, 0)</x:f>
        <x:v>1</x:v>
      </x:c>
      <x:c r="G68" s="47" t="n">
        <x:f>IF(D68=0,0,ABS(E68/D68))</x:f>
        <x:v>0.5</x:v>
      </x:c>
      <x:c r="H68" s="72"/>
      <x:c r="I68" s="73"/>
      <x:c r="J68" s="73"/>
      <x:c r="K68" s="74"/>
      <x:c r="L68" s="19" t="n">
        <x:v>4333.38095238095</x:v>
      </x:c>
      <x:c r="M68" s="73"/>
      <x:c r="N68" s="73"/>
      <x:c r="O68" s="76"/>
    </x:row>
    <x:row r="69" spans="1:19" hidden="1" outlineLevel="2" collapsed="1" x14ac:dyDescent="0.2">
      <x:c r="B69" s="45" t="inlineStr">
        <x:is>
          <x:t>H808</x:t>
        </x:is>
      </x:c>
      <x:c r="C69" s="46" t="inlineStr">
        <x:is>
          <x:t>Tanska, Urszula</x:t>
        </x:is>
      </x:c>
      <x:c r="D69" s="45" t="n">
        <x:v>7512.96</x:v>
      </x:c>
      <x:c r="E69" s="19" t="n">
        <x:v>939.12</x:v>
      </x:c>
      <x:c r="F69" s="19" t="n">
        <x:f>MAX(D69-E69, 0)</x:f>
        <x:v>1</x:v>
      </x:c>
      <x:c r="G69" s="47" t="n">
        <x:f>IF(D69=0,0,ABS(E69/D69))</x:f>
        <x:v>0.5</x:v>
      </x:c>
      <x:c r="H69" s="72"/>
      <x:c r="I69" s="73"/>
      <x:c r="J69" s="73"/>
      <x:c r="K69" s="74"/>
      <x:c r="L69" s="19" t="n">
        <x:v>47456.864</x:v>
      </x:c>
      <x:c r="M69" s="73"/>
      <x:c r="N69" s="73"/>
      <x:c r="O69" s="76"/>
    </x:row>
    <x:row r="70" spans="1:19" hidden="1" outlineLevel="2" collapsed="1" x14ac:dyDescent="0.2">
      <x:c r="B70" s="45" t="inlineStr">
        <x:is>
          <x:t>H808</x:t>
        </x:is>
      </x:c>
      <x:c r="C70" s="46" t="inlineStr">
        <x:is>
          <x:t>Tyszek, Robert</x:t>
        </x:is>
      </x:c>
      <x:c r="D70" s="45" t="n">
        <x:v>3400</x:v>
      </x:c>
      <x:c r="E70" s="19" t="n">
        <x:v>576.7857142857153</x:v>
      </x:c>
      <x:c r="F70" s="19" t="n">
        <x:f>MAX(D70-E70, 0)</x:f>
        <x:v>1</x:v>
      </x:c>
      <x:c r="G70" s="47" t="n">
        <x:f>IF(D70=0,0,ABS(E70/D70))</x:f>
        <x:v>0.5</x:v>
      </x:c>
      <x:c r="H70" s="53"/>
      <x:c r="I70" s="54"/>
      <x:c r="J70" s="54"/>
      <x:c r="K70" s="55"/>
      <x:c r="L70" s="19" t="n">
        <x:v>16206.66666666666</x:v>
      </x:c>
      <x:c r="M70" s="54"/>
      <x:c r="N70" s="54"/>
      <x:c r="O70" s="71"/>
    </x:row>
    <x:row r="71" spans="1:19" outlineLevel="1" x14ac:dyDescent="0.2">
      <x:c r="B71" s="58" t="inlineStr">
        <x:v>49</x:v>
        <x:is>
          <x:t>Total H808</x:t>
        </x:is>
      </x:c>
      <x:c r="C71" s="59"/>
      <x:c r="D71" s="58" t="n">
        <x:v>32616.56</x:v>
      </x:c>
      <x:c r="E71" s="60" t="n">
        <x:v>10788.21627976190632</x:v>
      </x:c>
      <x:c r="F71" s="60" t="n">
        <x:f>MAX(D71-E71, 0)</x:f>
        <x:v>1</x:v>
      </x:c>
      <x:c r="G71" s="61" t="n">
        <x:f>IF(D71=0,0,ABS(E71/D71))</x:f>
        <x:v>0.5</x:v>
      </x:c>
      <x:c r="H71" s="58" t="n">
        <x:v>572082.0468571426</x:v>
      </x:c>
      <x:c r="I71" s="60" t="n">
        <x:v>429930.53622023812436</x:v>
      </x:c>
      <x:c r="J71" s="62" t="n">
        <x:f>IF(H71=0,"No plan at start",I71/H71)</x:f>
        <x:v>2</x:v>
      </x:c>
      <x:c r="K71" s="60" t="n">
        <x:f>MAX(H71-I71, 0)</x:f>
        <x:v>0</x:v>
      </x:c>
      <x:c r="L71" s="60" t="n">
        <x:v>184562.625904761884</x:v>
      </x:c>
      <x:c r="M71" s="60" t="n">
        <x:f>I71+L71</x:f>
        <x:v>3</x:v>
      </x:c>
      <x:c r="N71" s="60" t="n">
        <x:f>M71-H71</x:f>
        <x:v>2</x:v>
      </x:c>
      <x:c r="O71" s="61" t="n">
        <x:f>IF(H71=0,"No plan at start",M71/H71)</x:f>
        <x:v>3</x:v>
      </x:c>
    </x:row>
    <x:row r="72" spans="1:19" hidden="1" outlineLevel="2" collapsed="1" x14ac:dyDescent="0.2">
      <x:c r="B72" s="45" t="inlineStr">
        <x:is>
          <x:t>J500</x:t>
        </x:is>
      </x:c>
      <x:c r="C72" s="46" t="inlineStr">
        <x:is>
          <x:t>Balos, Paulina</x:t>
        </x:is>
      </x:c>
      <x:c r="D72" s="45" t="n">
        <x:v>1606.5</x:v>
      </x:c>
      <x:c r="E72" s="19" t="n">
        <x:v>881.8750</x:v>
      </x:c>
      <x:c r="F72" s="19" t="n">
        <x:f>MAX(D72-E72, 0)</x:f>
        <x:v>1</x:v>
      </x:c>
      <x:c r="G72" s="47" t="n">
        <x:f>IF(D72=0,0,ABS(E72/D72))</x:f>
        <x:v>0.5</x:v>
      </x:c>
      <x:c r="H72" s="52"/>
      <x:c r="I72" s="50"/>
      <x:c r="J72" s="50"/>
      <x:c r="K72" s="51"/>
      <x:c r="L72" s="19" t="n">
        <x:v>6264.5</x:v>
      </x:c>
      <x:c r="M72" s="50"/>
      <x:c r="N72" s="50"/>
      <x:c r="O72" s="70"/>
    </x:row>
    <x:row r="73" spans="1:19" hidden="1" outlineLevel="2" collapsed="1" x14ac:dyDescent="0.2">
      <x:c r="B73" s="45" t="inlineStr">
        <x:is>
          <x:t>J500</x:t>
        </x:is>
      </x:c>
      <x:c r="C73" s="46" t="inlineStr">
        <x:is>
          <x:t>Gregorek, Elzbieta</x:t>
        </x:is>
      </x:c>
      <x:c r="D73" s="45" t="n">
        <x:v>1818.9745</x:v>
      </x:c>
      <x:c r="E73" s="19" t="n">
        <x:v>1340.450</x:v>
      </x:c>
      <x:c r="F73" s="19" t="n">
        <x:f>MAX(D73-E73, 0)</x:f>
        <x:v>1</x:v>
      </x:c>
      <x:c r="G73" s="47" t="n">
        <x:f>IF(D73=0,0,ABS(E73/D73))</x:f>
        <x:v>0.5</x:v>
      </x:c>
      <x:c r="H73" s="72"/>
      <x:c r="I73" s="73"/>
      <x:c r="J73" s="73"/>
      <x:c r="K73" s="74"/>
      <x:c r="L73" s="19" t="n">
        <x:v>3178.32</x:v>
      </x:c>
      <x:c r="M73" s="73"/>
      <x:c r="N73" s="73"/>
      <x:c r="O73" s="76"/>
    </x:row>
    <x:row r="74" spans="1:19" hidden="1" outlineLevel="2" collapsed="1" x14ac:dyDescent="0.2">
      <x:c r="B74" s="45" t="inlineStr">
        <x:is>
          <x:t>J500</x:t>
        </x:is>
      </x:c>
      <x:c r="C74" s="46" t="inlineStr">
        <x:is>
          <x:t>Grzywacz, Tomasz</x:t>
        </x:is>
      </x:c>
      <x:c r="D74" s="45" t="n">
        <x:v>4438.82142857143</x:v>
      </x:c>
      <x:c r="E74" s="19" t="n">
        <x:v>2428.571428571429</x:v>
      </x:c>
      <x:c r="F74" s="19" t="n">
        <x:f>MAX(D74-E74, 0)</x:f>
        <x:v>1</x:v>
      </x:c>
      <x:c r="G74" s="47" t="n">
        <x:f>IF(D74=0,0,ABS(E74/D74))</x:f>
        <x:v>0.5</x:v>
      </x:c>
      <x:c r="H74" s="72"/>
      <x:c r="I74" s="73"/>
      <x:c r="J74" s="73"/>
      <x:c r="K74" s="74"/>
      <x:c r="L74" s="19" t="n">
        <x:v>14255.714285714280</x:v>
      </x:c>
      <x:c r="M74" s="73"/>
      <x:c r="N74" s="73"/>
      <x:c r="O74" s="76"/>
    </x:row>
    <x:row r="75" spans="1:19" hidden="1" outlineLevel="2" collapsed="1" x14ac:dyDescent="0.2">
      <x:c r="B75" s="45" t="inlineStr">
        <x:is>
          <x:t>J500</x:t>
        </x:is>
      </x:c>
      <x:c r="C75" s="46" t="inlineStr">
        <x:is>
          <x:t>Hofman, Aleksandra</x:t>
        </x:is>
      </x:c>
      <x:c r="D75" s="45" t="n">
        <x:v>1107.567</x:v>
      </x:c>
      <x:c r="E75" s="19" t="n">
        <x:v>459.00</x:v>
      </x:c>
      <x:c r="F75" s="19" t="n">
        <x:f>MAX(D75-E75, 0)</x:f>
        <x:v>1</x:v>
      </x:c>
      <x:c r="G75" s="47" t="n">
        <x:f>IF(D75=0,0,ABS(E75/D75))</x:f>
        <x:v>0.5</x:v>
      </x:c>
      <x:c r="H75" s="72"/>
      <x:c r="I75" s="73"/>
      <x:c r="J75" s="73"/>
      <x:c r="K75" s="74"/>
      <x:c r="L75" s="19" t="n">
        <x:v>1413.720</x:v>
      </x:c>
      <x:c r="M75" s="73"/>
      <x:c r="N75" s="73"/>
      <x:c r="O75" s="76"/>
    </x:row>
    <x:row r="76" spans="1:19" hidden="1" outlineLevel="2" collapsed="1" x14ac:dyDescent="0.2">
      <x:c r="B76" s="45" t="inlineStr">
        <x:is>
          <x:t>J500</x:t>
        </x:is>
      </x:c>
      <x:c r="C76" s="46" t="inlineStr">
        <x:is>
          <x:t>Mirecka-Glowacka, Justyna</x:t>
        </x:is>
      </x:c>
      <x:c r="D76" s="45" t="n">
        <x:v>3931.2</x:v>
      </x:c>
      <x:c r="E76" s="19" t="n">
        <x:v>1872.0</x:v>
      </x:c>
      <x:c r="F76" s="19" t="n">
        <x:f>MAX(D76-E76, 0)</x:f>
        <x:v>1</x:v>
      </x:c>
      <x:c r="G76" s="47" t="n">
        <x:f>IF(D76=0,0,ABS(E76/D76))</x:f>
        <x:v>0.5</x:v>
      </x:c>
      <x:c r="H76" s="72"/>
      <x:c r="I76" s="73"/>
      <x:c r="J76" s="73"/>
      <x:c r="K76" s="74"/>
      <x:c r="L76" s="19" t="n">
        <x:v>14872.0</x:v>
      </x:c>
      <x:c r="M76" s="73"/>
      <x:c r="N76" s="73"/>
      <x:c r="O76" s="76"/>
    </x:row>
    <x:row r="77" spans="1:19" hidden="1" outlineLevel="2" collapsed="1" x14ac:dyDescent="0.2">
      <x:c r="B77" s="45" t="inlineStr">
        <x:is>
          <x:t>J500</x:t>
        </x:is>
      </x:c>
      <x:c r="C77" s="46" t="inlineStr">
        <x:is>
          <x:t>Nieciecka, Edyta</x:t>
        </x:is>
      </x:c>
      <x:c r="D77" s="45" t="n">
        <x:v>1564</x:v>
      </x:c>
      <x:c r="E77" s="19" t="n">
        <x:v>593.83125</x:v>
      </x:c>
      <x:c r="F77" s="19" t="n">
        <x:f>MAX(D77-E77, 0)</x:f>
        <x:v>1</x:v>
      </x:c>
      <x:c r="G77" s="47" t="n">
        <x:f>IF(D77=0,0,ABS(E77/D77))</x:f>
        <x:v>0.5</x:v>
      </x:c>
      <x:c r="H77" s="72"/>
      <x:c r="I77" s="73"/>
      <x:c r="J77" s="73"/>
      <x:c r="K77" s="74"/>
      <x:c r="L77" s="19" t="n">
        <x:v>3186.65</x:v>
      </x:c>
      <x:c r="M77" s="73"/>
      <x:c r="N77" s="73"/>
      <x:c r="O77" s="76"/>
    </x:row>
    <x:row r="78" spans="1:19" hidden="1" outlineLevel="2" collapsed="1" x14ac:dyDescent="0.2">
      <x:c r="B78" s="45" t="inlineStr">
        <x:is>
          <x:t>J500</x:t>
        </x:is>
      </x:c>
      <x:c r="C78" s="46" t="inlineStr">
        <x:is>
          <x:t>Pajewski, Marta</x:t>
        </x:is>
      </x:c>
      <x:c r="D78" s="45" t="n">
        <x:v>1797.75</x:v>
      </x:c>
      <x:c r="E78" s="19" t="n">
        <x:v>1007.6674107142854</x:v>
      </x:c>
      <x:c r="F78" s="19" t="n">
        <x:f>MAX(D78-E78, 0)</x:f>
        <x:v>1</x:v>
      </x:c>
      <x:c r="G78" s="47" t="n">
        <x:f>IF(D78=0,0,ABS(E78/D78))</x:f>
        <x:v>0.5</x:v>
      </x:c>
      <x:c r="H78" s="72"/>
      <x:c r="I78" s="73"/>
      <x:c r="J78" s="73"/>
      <x:c r="K78" s="74"/>
      <x:c r="L78" s="19" t="n">
        <x:v>7947.19642857143</x:v>
      </x:c>
      <x:c r="M78" s="73"/>
      <x:c r="N78" s="73"/>
      <x:c r="O78" s="76"/>
    </x:row>
    <x:row r="79" spans="1:19" hidden="1" outlineLevel="2" collapsed="1" x14ac:dyDescent="0.2">
      <x:c r="B79" s="45" t="inlineStr">
        <x:is>
          <x:t>J500</x:t>
        </x:is>
      </x:c>
      <x:c r="C79" s="46" t="inlineStr">
        <x:is>
          <x:t>Piela, Anna</x:t>
        </x:is>
      </x:c>
      <x:c r="D79" s="45" t="n">
        <x:v>4119.18</x:v>
      </x:c>
      <x:c r="E79" s="19" t="n">
        <x:v>2041.0</x:v>
      </x:c>
      <x:c r="F79" s="19" t="n">
        <x:f>MAX(D79-E79, 0)</x:f>
        <x:v>1</x:v>
      </x:c>
      <x:c r="G79" s="47" t="n">
        <x:f>IF(D79=0,0,ABS(E79/D79))</x:f>
        <x:v>0.5</x:v>
      </x:c>
      <x:c r="H79" s="72"/>
      <x:c r="I79" s="73"/>
      <x:c r="J79" s="73"/>
      <x:c r="K79" s="74"/>
      <x:c r="L79" s="19" t="n">
        <x:v>11367.2</x:v>
      </x:c>
      <x:c r="M79" s="73"/>
      <x:c r="N79" s="73"/>
      <x:c r="O79" s="76"/>
    </x:row>
    <x:row r="80" spans="1:19" hidden="1" outlineLevel="2" collapsed="1" x14ac:dyDescent="0.2">
      <x:c r="B80" s="45" t="inlineStr">
        <x:is>
          <x:t>J500</x:t>
        </x:is>
      </x:c>
      <x:c r="C80" s="46" t="inlineStr">
        <x:is>
          <x:t>Staszewska, Urszula</x:t>
        </x:is>
      </x:c>
      <x:c r="D80" s="45" t="n">
        <x:v>3836.82</x:v>
      </x:c>
      <x:c r="E80" s="19" t="n">
        <x:v>2600</x:v>
      </x:c>
      <x:c r="F80" s="19" t="n">
        <x:f>MAX(D80-E80, 0)</x:f>
        <x:v>1</x:v>
      </x:c>
      <x:c r="G80" s="47" t="n">
        <x:f>IF(D80=0,0,ABS(E80/D80))</x:f>
        <x:v>0.5</x:v>
      </x:c>
      <x:c r="H80" s="53"/>
      <x:c r="I80" s="54"/>
      <x:c r="J80" s="54"/>
      <x:c r="K80" s="55"/>
      <x:c r="L80" s="19" t="n">
        <x:v>17440.8</x:v>
      </x:c>
      <x:c r="M80" s="54"/>
      <x:c r="N80" s="54"/>
      <x:c r="O80" s="71"/>
    </x:row>
    <x:row r="81" spans="1:19" outlineLevel="1" x14ac:dyDescent="0.2">
      <x:c r="B81" s="58" t="inlineStr">
        <x:v>49</x:v>
        <x:is>
          <x:t>Total J500</x:t>
        </x:is>
      </x:c>
      <x:c r="C81" s="59"/>
      <x:c r="D81" s="58" t="n">
        <x:v>24220.81292857143</x:v>
      </x:c>
      <x:c r="E81" s="60" t="n">
        <x:v>13224.3950892857144</x:v>
      </x:c>
      <x:c r="F81" s="60" t="n">
        <x:f>MAX(D81-E81, 0)</x:f>
        <x:v>1</x:v>
      </x:c>
      <x:c r="G81" s="61" t="n">
        <x:f>IF(D81=0,0,ABS(E81/D81))</x:f>
        <x:v>0.5</x:v>
      </x:c>
      <x:c r="H81" s="58" t="n">
        <x:v>233703.6205238096</x:v>
      </x:c>
      <x:c r="I81" s="60" t="n">
        <x:v>276822.96151190475662</x:v>
      </x:c>
      <x:c r="J81" s="62" t="n">
        <x:f>IF(H81=0,"No plan at start",I81/H81)</x:f>
        <x:v>2</x:v>
      </x:c>
      <x:c r="K81" s="60" t="n">
        <x:f>MAX(H81-I81, 0)</x:f>
        <x:v>0</x:v>
      </x:c>
      <x:c r="L81" s="60" t="n">
        <x:v>79926.100714285710</x:v>
      </x:c>
      <x:c r="M81" s="60" t="n">
        <x:f>I81+L81</x:f>
        <x:v>3</x:v>
      </x:c>
      <x:c r="N81" s="60" t="n">
        <x:f>M81-H81</x:f>
        <x:v>2</x:v>
      </x:c>
      <x:c r="O81" s="61" t="n">
        <x:f>IF(H81=0,"No plan at start",M81/H81)</x:f>
        <x:v>3</x:v>
      </x:c>
    </x:row>
    <x:row r="82" spans="1:19" hidden="1" outlineLevel="2" collapsed="1" x14ac:dyDescent="0.2">
      <x:c r="B82" s="45" t="inlineStr">
        <x:is>
          <x:t>K358</x:t>
        </x:is>
      </x:c>
      <x:c r="C82" s="46" t="inlineStr">
        <x:is>
          <x:t>Cuch, Mariusz</x:t>
        </x:is>
      </x:c>
      <x:c r="D82" s="45" t="n">
        <x:v>0</x:v>
      </x:c>
      <x:c r="E82" s="19" t="n">
        <x:v>780.61875</x:v>
      </x:c>
      <x:c r="F82" s="19" t="n">
        <x:f>MAX(D82-E82, 0)</x:f>
        <x:v>1</x:v>
      </x:c>
      <x:c r="G82" s="47" t="n">
        <x:f>IF(D82=0,0,ABS(E82/D82))</x:f>
        <x:v>0.5</x:v>
      </x:c>
      <x:c r="H82" s="52"/>
      <x:c r="I82" s="50"/>
      <x:c r="J82" s="50"/>
      <x:c r="K82" s="51"/>
      <x:c r="L82" s="19" t="n">
        <x:v>0</x:v>
      </x:c>
      <x:c r="M82" s="50"/>
      <x:c r="N82" s="50"/>
      <x:c r="O82" s="70"/>
    </x:row>
    <x:row r="83" spans="1:19" ht="13.5" outlineLevel="1" thickBot="1" x14ac:dyDescent="0.25">
      <x:c r="B83" s="63" t="inlineStr">
        <x:v>49</x:v>
        <x:is>
          <x:t>Total K358</x:t>
        </x:is>
      </x:c>
      <x:c r="C83" s="64"/>
      <x:c r="D83" s="63" t="n">
        <x:v>0</x:v>
      </x:c>
      <x:c r="E83" s="65" t="n">
        <x:v>780.61875</x:v>
      </x:c>
      <x:c r="F83" s="65" t="n">
        <x:f>MAX(D83-E83, 0)</x:f>
        <x:v>0</x:v>
      </x:c>
      <x:c r="G83" s="66" t="n">
        <x:f>IF(D83=0,0,ABS(E83/D83))</x:f>
        <x:v>4</x:v>
      </x:c>
      <x:c r="H83" s="63" t="n">
        <x:v>0</x:v>
      </x:c>
      <x:c r="I83" s="65" t="n">
        <x:v>1525.00625</x:v>
      </x:c>
      <x:c r="J83" s="67" t="n">
        <x:f>IF(H83=0,"No plan at start",I83/H83)</x:f>
        <x:v>0.5</x:v>
      </x:c>
      <x:c r="K83" s="65" t="n">
        <x:f>MAX(H83-I83, 0)</x:f>
        <x:v>1</x:v>
      </x:c>
      <x:c r="L83" s="65" t="n">
        <x:v>0</x:v>
      </x:c>
      <x:c r="M83" s="65" t="n">
        <x:f>I83+L83</x:f>
        <x:v>6</x:v>
      </x:c>
      <x:c r="N83" s="65" t="n">
        <x:f>M83-H83</x:f>
        <x:v>4</x:v>
      </x:c>
      <x:c r="O83" s="66" t="n">
        <x:f>IF(H83=0,"No plan at start",M83/H83)</x:f>
        <x:v>3</x:v>
      </x:c>
    </x:row>
    <x:row r="84" x14ac:dyDescent="0.2"/>
  </x:sheetData>
  <x:mergeCells count="9">
    <x:mergeCell ref="B2:C2"/>
    <x:mergeCell ref="F2:G2"/>
    <x:mergeCell ref="F4:G4"/>
    <x:mergeCell ref="F5:O7"/>
    <x:mergeCell ref="F8:M9"/>
    <x:mergeCell ref="D14:G14"/>
    <x:mergeCell ref="H14:O14"/>
    <x:mergeCell ref="D51:G51"/>
    <x:mergeCell ref="H51:O51"/>
  </x:mergeCells>
  <x:conditionalFormatting sqref="F17:F46 F54:F83">
    <x:cfRule type="cellIs" dxfId="11" priority="5" operator="greaterThan">
      <x:formula>0</x:formula>
    </x:cfRule>
    <x:cfRule type="cellIs" dxfId="10" priority="6" operator="lessThanOrEqual">
      <x:formula>0</x:formula>
    </x:cfRule>
  </x:conditionalFormatting>
  <x:conditionalFormatting sqref="N22 N24 N34 N44 N46 N59 N61 N71 N81 N83">
    <x:cfRule type="cellIs" dxfId="9" priority="4" operator="greaterThan">
      <x:formula>0</x:formula>
    </x:cfRule>
    <x:cfRule type="cellIs" dxfId="8" priority="3" operator="lessThanOrEqual">
      <x:formula>0</x:formula>
    </x:cfRule>
  </x:conditionalFormatting>
  <x:conditionalFormatting sqref="K22 K24 K34 K44 K46 K59 K61 K71 K81 K83">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