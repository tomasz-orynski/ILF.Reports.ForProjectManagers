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workbookTemplate" defaultThemeVersion="124226"/>
  <mc:AlternateContent xmlns:mc="http://schemas.openxmlformats.org/markup-compatibility/2006">
    <mc:Choice Requires="x15">
      <x15ac:absPath xmlns:x15ac="http://schemas.microsoft.com/office/spreadsheetml/2010/11/ac" url="D:\Repos\Remote\GitHub\ILF.Reports.ForProjectManagers\data\input\"/>
    </mc:Choice>
  </mc:AlternateContent>
  <bookViews>
    <workbookView xWindow="28605" yWindow="-15" windowWidth="15600" windowHeight="7605"/>
  </bookViews>
  <sheets>
    <sheet name="Report" sheetId="1" r:id="rId1"/>
  </sheets>
  <calcPr calcId="162913"/>
</workbook>
</file>

<file path=xl/calcChain.xml><?xml version="1.0" encoding="utf-8"?>
<calcChain xmlns="http://schemas.openxmlformats.org/spreadsheetml/2006/main">
  <c r="K19" i="1" l="1"/>
  <c r="J19" i="1"/>
  <c r="M29" i="1"/>
  <c r="O29" i="1" s="1"/>
  <c r="K29" i="1"/>
  <c r="J29" i="1"/>
  <c r="G29" i="1"/>
  <c r="F29" i="1"/>
  <c r="G28" i="1"/>
  <c r="F28" i="1"/>
  <c r="M19" i="1"/>
  <c r="O19" i="1" s="1"/>
  <c r="G19" i="1"/>
  <c r="F19" i="1"/>
  <c r="G18" i="1"/>
  <c r="F18" i="1"/>
  <c r="N29" i="1" l="1"/>
  <c r="N19" i="1"/>
  <c r="K30" i="1" l="1"/>
  <c r="K20" i="1"/>
  <c r="F30" i="1" l="1"/>
  <c r="F27" i="1"/>
  <c r="F20" i="1"/>
  <c r="F17" i="1"/>
  <c r="G30" i="1" l="1"/>
  <c r="G27" i="1"/>
  <c r="G20" i="1"/>
  <c r="G17" i="1"/>
  <c r="M30" i="1" l="1"/>
  <c r="O30" i="1" s="1"/>
  <c r="M20" i="1"/>
  <c r="O20" i="1" s="1"/>
  <c r="J30" i="1" l="1"/>
  <c r="J20" i="1" l="1"/>
  <c r="N30" i="1" l="1"/>
  <c r="N20" i="1" l="1"/>
</calcChain>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<sst xmlns="http://schemas.openxmlformats.org/spreadsheetml/2006/main" count="79" uniqueCount="50">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</sst>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quot;€&quot;_-;\-* #,##0.00\ &quot;€&quot;_-;_-* &quot;-&quot;??\ &quot;€&quot;_-;_-@_-"/>
    <numFmt numFmtId="165" formatCode="#,##0\ &quot;€&quot;"/>
    <numFmt numFmtId="166" formatCode="0.0%"/>
    <numFmt numFmtId="167"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2">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16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96">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5"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7" fontId="4" fillId="0" borderId="7" xfId="0" applyNumberFormat="1" applyFont="1" applyBorder="1" applyAlignment="1" applyProtection="1">
      <alignment horizontal="center" vertical="center"/>
      <protection locked="0"/>
    </xf>
    <xf numFmtId="167"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6"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6" fontId="23" fillId="5" borderId="18" xfId="0" applyNumberFormat="1" applyFont="1" applyFill="1" applyBorder="1" applyAlignment="1" applyProtection="1">
      <alignment horizontal="center" vertical="center"/>
      <protection locked="0"/>
    </xf>
    <xf numFmtId="166"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6" fontId="23" fillId="5" borderId="22" xfId="0" applyNumberFormat="1" applyFont="1" applyFill="1" applyBorder="1" applyAlignment="1" applyProtection="1">
      <alignment horizontal="center" vertical="center"/>
      <protection locked="0"/>
    </xf>
    <xf numFmtId="166"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37">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sheetTemplate"/>
  <dimension ref="A1:XFC205"/>
  <sheetViews>
    <sheetView showGridLines="0" tabSelected="1" zoomScale="70" zoomScaleNormal="70" workbookViewId="0">
      <selection activeCell="F38" sqref="F38"/>
    </sheetView>
  </sheetViews>
  <sheetFormatPr defaultColWidth="0" defaultRowHeight="12.75" zeroHeight="1" x14ac:dyDescent="0.2"/>
  <cols>
    <col min="1" max="1" width="5.7109375" style="4" customWidth="1"/>
    <col min="2" max="2" width="17.28515625" style="4" customWidth="1"/>
    <col min="3" max="3" width="36" style="4" customWidth="1"/>
    <col min="4" max="15" width="16.7109375" style="4" customWidth="1"/>
    <col min="16" max="16" width="5.7109375" style="4" customWidth="1"/>
    <col min="17" max="37" width="16.85546875" style="4" hidden="1" customWidth="1"/>
    <col min="38" max="38" width="18.85546875" style="4" hidden="1" customWidth="1"/>
    <col min="39" max="40" width="20.28515625" style="4" hidden="1" customWidth="1"/>
    <col min="41" max="42" width="26.42578125" style="4" hidden="1" customWidth="1"/>
    <col min="43" max="187" width="10.5703125" style="4" hidden="1" customWidth="1"/>
    <col min="188" max="189" width="15.42578125" style="4" hidden="1" customWidth="1"/>
    <col min="190" max="16383" width="15.28515625" style="4" hidden="1"/>
    <col min="16384" max="16384" width="0.42578125" style="4" customWidth="1"/>
  </cols>
  <sheetData>
    <row r="1" spans="1:16" s="7" customFormat="1" ht="16.5" thickBot="1" x14ac:dyDescent="0.25">
      <c r="A1" s="1"/>
      <c r="B1" s="2"/>
      <c r="C1" s="2"/>
      <c r="D1" s="2"/>
      <c r="E1" s="2"/>
      <c r="F1" s="2"/>
      <c r="G1" s="2"/>
      <c r="H1" s="2"/>
      <c r="I1" s="2"/>
      <c r="J1" s="2"/>
      <c r="K1" s="2"/>
      <c r="L1" s="2"/>
      <c r="M1" s="2"/>
      <c r="N1" s="2"/>
      <c r="O1" s="3"/>
    </row>
    <row r="2" spans="1:16" s="7" customFormat="1" ht="33.75" customHeight="1" thickBot="1" x14ac:dyDescent="0.25">
      <c r="A2" s="5"/>
      <c r="B2" s="73" t="s">
        <v>5</v>
      </c>
      <c r="C2" s="74"/>
      <c r="D2" s="26"/>
      <c r="E2" s="4"/>
      <c r="F2" s="75" t="s">
        <v>12</v>
      </c>
      <c r="G2" s="76"/>
      <c r="H2" s="32">
        <v>42736</v>
      </c>
      <c r="I2" s="21" t="s">
        <v>11</v>
      </c>
      <c r="J2" s="33">
        <v>42736</v>
      </c>
      <c r="K2" s="6"/>
      <c r="L2" s="6"/>
      <c r="M2" s="6"/>
      <c r="N2" s="6"/>
    </row>
    <row r="3" spans="1:16" s="7" customFormat="1" ht="33.75" customHeight="1" x14ac:dyDescent="0.2">
      <c r="A3" s="5"/>
      <c r="B3" s="8" t="s">
        <v>6</v>
      </c>
      <c r="C3" s="22" t="s">
        <v>7</v>
      </c>
      <c r="D3" s="27"/>
      <c r="E3" s="6"/>
      <c r="F3" s="4"/>
      <c r="G3" s="4"/>
      <c r="H3" s="4"/>
      <c r="I3" s="4"/>
      <c r="J3" s="4"/>
      <c r="K3" s="6"/>
      <c r="L3" s="6"/>
      <c r="M3" s="6"/>
      <c r="N3" s="6"/>
    </row>
    <row r="4" spans="1:16" s="7" customFormat="1" ht="33.75" customHeight="1" thickBot="1" x14ac:dyDescent="0.25">
      <c r="A4" s="5"/>
      <c r="B4" s="9" t="s">
        <v>8</v>
      </c>
      <c r="C4" s="23" t="s">
        <v>29</v>
      </c>
      <c r="D4" s="27"/>
      <c r="E4" s="6"/>
      <c r="F4" s="77" t="s">
        <v>4</v>
      </c>
      <c r="G4" s="78"/>
      <c r="N4" s="6"/>
    </row>
    <row r="5" spans="1:16" s="7" customFormat="1" ht="33.75" customHeight="1" thickBot="1" x14ac:dyDescent="0.25">
      <c r="A5" s="5"/>
      <c r="B5" s="9" t="s">
        <v>0</v>
      </c>
      <c r="C5" s="10" t="s">
        <v>29</v>
      </c>
      <c r="D5" s="13"/>
      <c r="E5" s="6"/>
      <c r="F5" s="79"/>
      <c r="G5" s="80"/>
      <c r="H5" s="80"/>
      <c r="I5" s="80"/>
      <c r="J5" s="80"/>
      <c r="K5" s="80"/>
      <c r="L5" s="80"/>
      <c r="M5" s="80"/>
      <c r="N5" s="81"/>
      <c r="O5" s="82"/>
    </row>
    <row r="6" spans="1:16" s="7" customFormat="1" ht="33.75" customHeight="1" thickBot="1" x14ac:dyDescent="0.25">
      <c r="A6" s="5"/>
      <c r="B6" s="34" t="s">
        <v>9</v>
      </c>
      <c r="C6" s="35" t="s">
        <v>29</v>
      </c>
      <c r="D6" s="27"/>
      <c r="E6" s="6"/>
      <c r="F6" s="83"/>
      <c r="G6" s="84"/>
      <c r="H6" s="84"/>
      <c r="I6" s="84"/>
      <c r="J6" s="84"/>
      <c r="K6" s="84"/>
      <c r="L6" s="84"/>
      <c r="M6" s="84"/>
      <c r="N6" s="85"/>
      <c r="O6" s="86"/>
    </row>
    <row r="7" spans="1:16" s="7" customFormat="1" ht="33.75" customHeight="1" thickBot="1" x14ac:dyDescent="0.25">
      <c r="A7" s="5"/>
      <c r="B7" s="9" t="s">
        <v>10</v>
      </c>
      <c r="C7" s="23" t="s">
        <v>29</v>
      </c>
      <c r="D7" s="27"/>
      <c r="E7" s="6"/>
      <c r="F7" s="87"/>
      <c r="G7" s="88"/>
      <c r="H7" s="88"/>
      <c r="I7" s="88"/>
      <c r="J7" s="88"/>
      <c r="K7" s="88"/>
      <c r="L7" s="88"/>
      <c r="M7" s="88"/>
      <c r="N7" s="89"/>
      <c r="O7" s="90"/>
    </row>
    <row r="8" spans="1:16" s="7" customFormat="1" ht="33.75" customHeight="1" x14ac:dyDescent="0.2">
      <c r="A8" s="5"/>
      <c r="B8" s="9" t="s">
        <v>1</v>
      </c>
      <c r="C8" s="10" t="s">
        <v>29</v>
      </c>
      <c r="D8" s="13"/>
      <c r="E8" s="6"/>
      <c r="F8" s="91" t="s">
        <v>38</v>
      </c>
      <c r="G8" s="92"/>
      <c r="H8" s="92"/>
      <c r="I8" s="92"/>
      <c r="J8" s="92"/>
      <c r="K8" s="92"/>
      <c r="L8" s="92"/>
      <c r="M8" s="92"/>
      <c r="N8" s="6"/>
    </row>
    <row r="9" spans="1:16" s="7" customFormat="1" ht="33.75" customHeight="1" thickBot="1" x14ac:dyDescent="0.25">
      <c r="A9" s="5"/>
      <c r="B9" s="11"/>
      <c r="C9" s="24"/>
      <c r="D9" s="28"/>
      <c r="E9" s="6"/>
      <c r="F9" s="93"/>
      <c r="G9" s="93"/>
      <c r="H9" s="93"/>
      <c r="I9" s="93"/>
      <c r="J9" s="93"/>
      <c r="K9" s="93"/>
      <c r="L9" s="93"/>
      <c r="M9" s="93"/>
      <c r="N9" s="6"/>
    </row>
    <row r="10" spans="1:16" s="7" customFormat="1" ht="15.75" x14ac:dyDescent="0.2">
      <c r="A10" s="5"/>
      <c r="B10" s="12"/>
      <c r="C10" s="13"/>
      <c r="D10" s="13"/>
      <c r="E10" s="6"/>
      <c r="F10" s="6"/>
      <c r="G10" s="6"/>
      <c r="H10" s="6"/>
      <c r="I10" s="6"/>
      <c r="J10" s="6"/>
      <c r="K10" s="6"/>
      <c r="L10" s="6"/>
      <c r="M10" s="6"/>
      <c r="N10" s="6"/>
    </row>
    <row r="11" spans="1:16" s="7" customFormat="1" x14ac:dyDescent="0.2">
      <c r="A11" s="5"/>
    </row>
    <row r="12" spans="1:16" s="7" customFormat="1" x14ac:dyDescent="0.2">
      <c r="A12" s="5"/>
      <c r="B12" s="14" t="s">
        <v>13</v>
      </c>
      <c r="C12" s="15"/>
      <c r="D12" s="15"/>
      <c r="E12" s="15"/>
      <c r="F12" s="16"/>
      <c r="G12" s="16"/>
      <c r="H12" s="17"/>
      <c r="K12" s="18"/>
      <c r="M12" s="25"/>
    </row>
    <row r="13" spans="1:16" s="7" customFormat="1" ht="13.5" thickBot="1" x14ac:dyDescent="0.25">
      <c r="A13" s="5"/>
    </row>
    <row r="14" spans="1:16" s="7" customFormat="1" x14ac:dyDescent="0.2">
      <c r="A14" s="5"/>
      <c r="B14" s="48"/>
      <c r="C14" s="49"/>
      <c r="D14" s="70" t="s">
        <v>39</v>
      </c>
      <c r="E14" s="71"/>
      <c r="F14" s="71"/>
      <c r="G14" s="72"/>
      <c r="H14" s="70" t="s">
        <v>40</v>
      </c>
      <c r="I14" s="71"/>
      <c r="J14" s="71"/>
      <c r="K14" s="71"/>
      <c r="L14" s="71"/>
      <c r="M14" s="71"/>
      <c r="N14" s="71"/>
      <c r="O14" s="72"/>
    </row>
    <row r="15" spans="1:16" s="7" customFormat="1" x14ac:dyDescent="0.2">
      <c r="A15" s="5"/>
      <c r="B15" s="68"/>
      <c r="C15" s="69"/>
      <c r="D15" s="36" t="s">
        <v>2</v>
      </c>
      <c r="E15" s="38" t="s">
        <v>3</v>
      </c>
      <c r="F15" s="38" t="s">
        <v>44</v>
      </c>
      <c r="G15" s="37" t="s">
        <v>41</v>
      </c>
      <c r="H15" s="36" t="s">
        <v>20</v>
      </c>
      <c r="I15" s="38" t="s">
        <v>34</v>
      </c>
      <c r="J15" s="39" t="s">
        <v>35</v>
      </c>
      <c r="K15" s="39" t="s">
        <v>36</v>
      </c>
      <c r="L15" s="38" t="s">
        <v>19</v>
      </c>
      <c r="M15" s="38" t="s">
        <v>37</v>
      </c>
      <c r="N15" s="38" t="s">
        <v>22</v>
      </c>
      <c r="O15" s="37" t="s">
        <v>23</v>
      </c>
      <c r="P15" s="20"/>
    </row>
    <row r="16" spans="1:16" s="7" customFormat="1" ht="76.5" x14ac:dyDescent="0.2">
      <c r="A16" s="5"/>
      <c r="B16" s="40" t="s">
        <v>14</v>
      </c>
      <c r="C16" s="41" t="s">
        <v>28</v>
      </c>
      <c r="D16" s="40" t="s">
        <v>45</v>
      </c>
      <c r="E16" s="42" t="s">
        <v>15</v>
      </c>
      <c r="F16" s="42" t="s">
        <v>42</v>
      </c>
      <c r="G16" s="41" t="s">
        <v>43</v>
      </c>
      <c r="H16" s="40" t="s">
        <v>25</v>
      </c>
      <c r="I16" s="42" t="s">
        <v>16</v>
      </c>
      <c r="J16" s="43" t="s">
        <v>18</v>
      </c>
      <c r="K16" s="43" t="s">
        <v>17</v>
      </c>
      <c r="L16" s="42" t="s">
        <v>26</v>
      </c>
      <c r="M16" s="42" t="s">
        <v>21</v>
      </c>
      <c r="N16" s="44" t="s">
        <v>27</v>
      </c>
      <c r="O16" s="41" t="s">
        <v>24</v>
      </c>
    </row>
    <row r="17" spans="1:19" s="7" customFormat="1" x14ac:dyDescent="0.2">
      <c r="A17" s="5"/>
      <c r="B17" s="45"/>
      <c r="C17" s="46"/>
      <c r="D17" s="45">
        <v>2</v>
      </c>
      <c r="E17" s="19">
        <v>1</v>
      </c>
      <c r="F17" s="19">
        <f>MAX(D17-E17, 0)</f>
        <v>1</v>
      </c>
      <c r="G17" s="47">
        <f>IF(D17=0,0,ABS(E17/D17))</f>
        <v>0.5</v>
      </c>
      <c r="H17" s="52"/>
      <c r="I17" s="50"/>
      <c r="J17" s="50"/>
      <c r="K17" s="51"/>
      <c r="L17" s="19">
        <v>1</v>
      </c>
      <c r="M17" s="56"/>
      <c r="N17" s="50"/>
      <c r="O17" s="94"/>
      <c r="P17" s="29"/>
      <c r="Q17" s="30"/>
      <c r="R17" s="31"/>
      <c r="S17" s="31"/>
    </row>
    <row r="18" spans="1:19" s="7" customFormat="1" x14ac:dyDescent="0.2">
      <c r="A18" s="5"/>
      <c r="B18" s="45"/>
      <c r="C18" s="46"/>
      <c r="D18" s="45">
        <v>2</v>
      </c>
      <c r="E18" s="19">
        <v>1</v>
      </c>
      <c r="F18" s="19">
        <f t="shared" ref="F18:F19" si="0">MAX(D18-E18, 0)</f>
        <v>1</v>
      </c>
      <c r="G18" s="47">
        <f t="shared" ref="G18:G19" si="1">IF(D18=0,0,ABS(E18/D18))</f>
        <v>0.5</v>
      </c>
      <c r="H18" s="53"/>
      <c r="I18" s="54"/>
      <c r="J18" s="54"/>
      <c r="K18" s="55"/>
      <c r="L18" s="19">
        <v>1</v>
      </c>
      <c r="M18" s="57"/>
      <c r="N18" s="54"/>
      <c r="O18" s="95"/>
      <c r="P18" s="29"/>
      <c r="Q18" s="30"/>
      <c r="R18" s="31"/>
      <c r="S18" s="31"/>
    </row>
    <row r="19" spans="1:19" s="7" customFormat="1" x14ac:dyDescent="0.2">
      <c r="A19" s="5"/>
      <c r="B19" s="58" t="s">
        <v>49</v>
      </c>
      <c r="C19" s="59"/>
      <c r="D19" s="58">
        <v>2</v>
      </c>
      <c r="E19" s="60">
        <v>1</v>
      </c>
      <c r="F19" s="60">
        <f t="shared" si="0"/>
        <v>1</v>
      </c>
      <c r="G19" s="61">
        <f t="shared" si="1"/>
        <v>0.5</v>
      </c>
      <c r="H19" s="58">
        <v>1</v>
      </c>
      <c r="I19" s="60">
        <v>2</v>
      </c>
      <c r="J19" s="62">
        <f t="shared" ref="J19" si="2">IF(H19=0,"No plan at start",I19/H19)</f>
        <v>2</v>
      </c>
      <c r="K19" s="60">
        <f>MAX(H19-I19, 0)</f>
        <v>0</v>
      </c>
      <c r="L19" s="60">
        <v>1</v>
      </c>
      <c r="M19" s="60">
        <f t="shared" ref="M19" si="3">I19+L19</f>
        <v>3</v>
      </c>
      <c r="N19" s="60">
        <f t="shared" ref="N19" si="4">M19-H19</f>
        <v>2</v>
      </c>
      <c r="O19" s="61">
        <f t="shared" ref="O19" si="5">IF(H19=0,"No plan at start",M19/H19)</f>
        <v>3</v>
      </c>
      <c r="P19" s="29"/>
      <c r="Q19" s="30"/>
      <c r="R19" s="31"/>
      <c r="S19" s="31"/>
    </row>
    <row r="20" spans="1:19" s="7" customFormat="1" ht="13.5" thickBot="1" x14ac:dyDescent="0.25">
      <c r="A20" s="5"/>
      <c r="B20" s="63" t="s">
        <v>49</v>
      </c>
      <c r="C20" s="64"/>
      <c r="D20" s="63">
        <v>0</v>
      </c>
      <c r="E20" s="65">
        <v>4</v>
      </c>
      <c r="F20" s="65">
        <f>MAX(D20-E20, 0)</f>
        <v>0</v>
      </c>
      <c r="G20" s="66">
        <f>IF(D20=0,0,ABS(E20/D20))</f>
        <v>0</v>
      </c>
      <c r="H20" s="63">
        <v>2</v>
      </c>
      <c r="I20" s="65">
        <v>1</v>
      </c>
      <c r="J20" s="67">
        <f t="shared" ref="J20" si="6">IF(H20=0,"No plan at start",I20/H20)</f>
        <v>0.5</v>
      </c>
      <c r="K20" s="65">
        <f>MAX(H20-I20, 0)</f>
        <v>1</v>
      </c>
      <c r="L20" s="65">
        <v>5</v>
      </c>
      <c r="M20" s="65">
        <f>I20+L20</f>
        <v>6</v>
      </c>
      <c r="N20" s="65">
        <f>M20-H20</f>
        <v>4</v>
      </c>
      <c r="O20" s="66">
        <f>IF(H20=0,"No plan at start",M20/H20)</f>
        <v>3</v>
      </c>
      <c r="P20" s="29"/>
      <c r="Q20" s="30"/>
      <c r="R20" s="31"/>
      <c r="S20" s="31"/>
    </row>
    <row r="21" spans="1:19" s="7" customFormat="1" ht="28.5" customHeight="1" x14ac:dyDescent="0.2">
      <c r="A21" s="5"/>
      <c r="B21" s="20"/>
      <c r="C21" s="20"/>
      <c r="D21" s="20"/>
      <c r="E21" s="20"/>
      <c r="F21" s="20"/>
      <c r="G21" s="20"/>
      <c r="H21" s="20"/>
      <c r="I21" s="20"/>
      <c r="J21" s="20"/>
      <c r="K21" s="20"/>
      <c r="L21" s="20"/>
      <c r="M21" s="20"/>
      <c r="N21" s="20"/>
      <c r="O21" s="20"/>
    </row>
    <row r="22" spans="1:19" x14ac:dyDescent="0.2">
      <c r="B22" s="14" t="s">
        <v>30</v>
      </c>
      <c r="C22" s="15"/>
      <c r="D22" s="15"/>
      <c r="E22" s="15"/>
      <c r="F22" s="16"/>
      <c r="G22" s="16"/>
      <c r="H22" s="17"/>
      <c r="I22" s="7"/>
      <c r="J22" s="7"/>
      <c r="K22" s="18"/>
      <c r="L22" s="7"/>
      <c r="M22" s="25"/>
      <c r="N22" s="7"/>
      <c r="O22" s="7"/>
    </row>
    <row r="23" spans="1:19" ht="13.5" thickBot="1" x14ac:dyDescent="0.25">
      <c r="B23" s="7"/>
      <c r="C23" s="7"/>
      <c r="D23" s="7"/>
      <c r="E23" s="7"/>
      <c r="F23" s="7"/>
      <c r="G23" s="7"/>
      <c r="H23" s="7"/>
      <c r="I23" s="7"/>
      <c r="J23" s="7"/>
      <c r="K23" s="7"/>
      <c r="L23" s="7"/>
      <c r="M23" s="7"/>
      <c r="N23" s="7"/>
      <c r="O23" s="7"/>
    </row>
    <row r="24" spans="1:19" x14ac:dyDescent="0.2">
      <c r="B24" s="48"/>
      <c r="C24" s="49"/>
      <c r="D24" s="70" t="s">
        <v>39</v>
      </c>
      <c r="E24" s="71"/>
      <c r="F24" s="71"/>
      <c r="G24" s="72"/>
      <c r="H24" s="70" t="s">
        <v>40</v>
      </c>
      <c r="I24" s="71"/>
      <c r="J24" s="71"/>
      <c r="K24" s="71"/>
      <c r="L24" s="71"/>
      <c r="M24" s="71"/>
      <c r="N24" s="71"/>
      <c r="O24" s="72"/>
    </row>
    <row r="25" spans="1:19" x14ac:dyDescent="0.2">
      <c r="B25" s="68"/>
      <c r="C25" s="69"/>
      <c r="D25" s="36" t="s">
        <v>2</v>
      </c>
      <c r="E25" s="38" t="s">
        <v>3</v>
      </c>
      <c r="F25" s="38" t="s">
        <v>44</v>
      </c>
      <c r="G25" s="37" t="s">
        <v>41</v>
      </c>
      <c r="H25" s="36" t="s">
        <v>20</v>
      </c>
      <c r="I25" s="38" t="s">
        <v>34</v>
      </c>
      <c r="J25" s="39" t="s">
        <v>35</v>
      </c>
      <c r="K25" s="39" t="s">
        <v>36</v>
      </c>
      <c r="L25" s="38" t="s">
        <v>19</v>
      </c>
      <c r="M25" s="38" t="s">
        <v>37</v>
      </c>
      <c r="N25" s="38" t="s">
        <v>22</v>
      </c>
      <c r="O25" s="37" t="s">
        <v>23</v>
      </c>
    </row>
    <row r="26" spans="1:19" ht="76.5" x14ac:dyDescent="0.2">
      <c r="B26" s="40" t="s">
        <v>14</v>
      </c>
      <c r="C26" s="41" t="s">
        <v>28</v>
      </c>
      <c r="D26" s="40" t="s">
        <v>45</v>
      </c>
      <c r="E26" s="42" t="s">
        <v>15</v>
      </c>
      <c r="F26" s="42" t="s">
        <v>42</v>
      </c>
      <c r="G26" s="41" t="s">
        <v>43</v>
      </c>
      <c r="H26" s="40" t="s">
        <v>46</v>
      </c>
      <c r="I26" s="42" t="s">
        <v>31</v>
      </c>
      <c r="J26" s="43" t="s">
        <v>47</v>
      </c>
      <c r="K26" s="43" t="s">
        <v>17</v>
      </c>
      <c r="L26" s="42" t="s">
        <v>48</v>
      </c>
      <c r="M26" s="42" t="s">
        <v>32</v>
      </c>
      <c r="N26" s="42" t="s">
        <v>33</v>
      </c>
      <c r="O26" s="41" t="s">
        <v>24</v>
      </c>
    </row>
    <row r="27" spans="1:19" x14ac:dyDescent="0.2">
      <c r="B27" s="45"/>
      <c r="C27" s="46"/>
      <c r="D27" s="45">
        <v>2</v>
      </c>
      <c r="E27" s="19">
        <v>1</v>
      </c>
      <c r="F27" s="19">
        <f>MAX(D27-E27, 0)</f>
        <v>1</v>
      </c>
      <c r="G27" s="47">
        <f>IF(D27=0,0,ABS(E27/D27))</f>
        <v>0.5</v>
      </c>
      <c r="H27" s="52"/>
      <c r="I27" s="50"/>
      <c r="J27" s="50"/>
      <c r="K27" s="51"/>
      <c r="L27" s="19">
        <v>1</v>
      </c>
      <c r="M27" s="50"/>
      <c r="N27" s="50"/>
      <c r="O27" s="94"/>
    </row>
    <row r="28" spans="1:19" x14ac:dyDescent="0.2">
      <c r="B28" s="45"/>
      <c r="C28" s="46"/>
      <c r="D28" s="45">
        <v>2</v>
      </c>
      <c r="E28" s="19">
        <v>1</v>
      </c>
      <c r="F28" s="19">
        <f>MAX(D28-E28, 0)</f>
        <v>1</v>
      </c>
      <c r="G28" s="47">
        <f>IF(D28=0,0,ABS(E28/D28))</f>
        <v>0.5</v>
      </c>
      <c r="H28" s="53"/>
      <c r="I28" s="54"/>
      <c r="J28" s="54"/>
      <c r="K28" s="55"/>
      <c r="L28" s="19">
        <v>1</v>
      </c>
      <c r="M28" s="54"/>
      <c r="N28" s="54"/>
      <c r="O28" s="95"/>
    </row>
    <row r="29" spans="1:19" x14ac:dyDescent="0.2">
      <c r="B29" s="58" t="s">
        <v>49</v>
      </c>
      <c r="C29" s="59"/>
      <c r="D29" s="58">
        <v>2</v>
      </c>
      <c r="E29" s="60">
        <v>1</v>
      </c>
      <c r="F29" s="60">
        <f>MAX(D29-E29, 0)</f>
        <v>1</v>
      </c>
      <c r="G29" s="61">
        <f>IF(D29=0,0,ABS(E29/D29))</f>
        <v>0.5</v>
      </c>
      <c r="H29" s="58">
        <v>1</v>
      </c>
      <c r="I29" s="60">
        <v>2</v>
      </c>
      <c r="J29" s="62">
        <f>IF(H29=0,"No plan at start",I29/H29)</f>
        <v>2</v>
      </c>
      <c r="K29" s="60">
        <f>MAX(H29-I29, 0)</f>
        <v>0</v>
      </c>
      <c r="L29" s="60">
        <v>1</v>
      </c>
      <c r="M29" s="60">
        <f>I29+L29</f>
        <v>3</v>
      </c>
      <c r="N29" s="60">
        <f>M29-H29</f>
        <v>2</v>
      </c>
      <c r="O29" s="61">
        <f>IF(H29=0,"No plan at start",M29/H29)</f>
        <v>3</v>
      </c>
    </row>
    <row r="30" spans="1:19" ht="13.5" thickBot="1" x14ac:dyDescent="0.25">
      <c r="B30" s="63" t="s">
        <v>49</v>
      </c>
      <c r="C30" s="64"/>
      <c r="D30" s="63">
        <v>1</v>
      </c>
      <c r="E30" s="65">
        <v>4</v>
      </c>
      <c r="F30" s="65">
        <f>MAX(D30-E30, 0)</f>
        <v>0</v>
      </c>
      <c r="G30" s="66">
        <f>IF(D30=0,0,ABS(E30/D30))</f>
        <v>4</v>
      </c>
      <c r="H30" s="63">
        <v>2</v>
      </c>
      <c r="I30" s="65">
        <v>1</v>
      </c>
      <c r="J30" s="67">
        <f t="shared" ref="J30" si="7">IF(H30=0,"No plan at start",I30/H30)</f>
        <v>0.5</v>
      </c>
      <c r="K30" s="65">
        <f>MAX(H30-I30,0)</f>
        <v>1</v>
      </c>
      <c r="L30" s="65">
        <v>5</v>
      </c>
      <c r="M30" s="65">
        <f>I30+L30</f>
        <v>6</v>
      </c>
      <c r="N30" s="65">
        <f>M30-H30</f>
        <v>4</v>
      </c>
      <c r="O30" s="66">
        <f>IF(H30=0,"No plan at start",M30/H30)</f>
        <v>3</v>
      </c>
    </row>
    <row r="31" spans="1:19" x14ac:dyDescent="0.2"/>
    <row r="32" spans="1:19" x14ac:dyDescent="0.2"/>
    <row r="33" x14ac:dyDescent="0.2"/>
    <row r="34" x14ac:dyDescent="0.2"/>
    <row r="35" x14ac:dyDescent="0.2"/>
    <row r="36" x14ac:dyDescent="0.2"/>
    <row r="37" x14ac:dyDescent="0.2"/>
    <row r="38" x14ac:dyDescent="0.2"/>
    <row r="39" x14ac:dyDescent="0.2"/>
    <row r="40" x14ac:dyDescent="0.2"/>
    <row r="41" x14ac:dyDescent="0.2"/>
    <row r="42" x14ac:dyDescent="0.2"/>
    <row r="43" x14ac:dyDescent="0.2"/>
    <row r="44" x14ac:dyDescent="0.2"/>
    <row r="45" x14ac:dyDescent="0.2"/>
    <row r="46" x14ac:dyDescent="0.2"/>
    <row r="47" x14ac:dyDescent="0.2"/>
    <row r="48" x14ac:dyDescent="0.2"/>
    <row r="49" x14ac:dyDescent="0.2"/>
    <row r="50" x14ac:dyDescent="0.2"/>
    <row r="51" x14ac:dyDescent="0.2"/>
    <row r="52" x14ac:dyDescent="0.2"/>
    <row r="53" x14ac:dyDescent="0.2"/>
    <row r="54" x14ac:dyDescent="0.2"/>
    <row r="55" x14ac:dyDescent="0.2"/>
    <row r="56" x14ac:dyDescent="0.2"/>
    <row r="57" x14ac:dyDescent="0.2"/>
    <row r="58" x14ac:dyDescent="0.2"/>
    <row r="59" x14ac:dyDescent="0.2"/>
    <row r="60" x14ac:dyDescent="0.2"/>
    <row r="61" x14ac:dyDescent="0.2"/>
    <row r="62" x14ac:dyDescent="0.2"/>
    <row r="63" x14ac:dyDescent="0.2"/>
    <row r="64" x14ac:dyDescent="0.2"/>
    <row r="65" x14ac:dyDescent="0.2"/>
    <row r="66" x14ac:dyDescent="0.2"/>
    <row r="67" x14ac:dyDescent="0.2"/>
    <row r="68" x14ac:dyDescent="0.2"/>
    <row r="69" x14ac:dyDescent="0.2"/>
    <row r="70" x14ac:dyDescent="0.2"/>
    <row r="71" x14ac:dyDescent="0.2"/>
    <row r="72" x14ac:dyDescent="0.2"/>
    <row r="73" x14ac:dyDescent="0.2"/>
    <row r="74" x14ac:dyDescent="0.2"/>
    <row r="75" x14ac:dyDescent="0.2"/>
    <row r="76" x14ac:dyDescent="0.2"/>
    <row r="77" x14ac:dyDescent="0.2"/>
    <row r="78" x14ac:dyDescent="0.2"/>
    <row r="79" x14ac:dyDescent="0.2"/>
    <row r="80" x14ac:dyDescent="0.2"/>
    <row r="81" x14ac:dyDescent="0.2"/>
    <row r="82" x14ac:dyDescent="0.2"/>
    <row r="83" x14ac:dyDescent="0.2"/>
    <row r="84" x14ac:dyDescent="0.2"/>
    <row r="85" x14ac:dyDescent="0.2"/>
    <row r="86" x14ac:dyDescent="0.2"/>
    <row r="87" x14ac:dyDescent="0.2"/>
    <row r="88" x14ac:dyDescent="0.2"/>
    <row r="89" x14ac:dyDescent="0.2"/>
    <row r="90" x14ac:dyDescent="0.2"/>
    <row r="91" x14ac:dyDescent="0.2"/>
    <row r="92" x14ac:dyDescent="0.2"/>
    <row r="93" x14ac:dyDescent="0.2"/>
    <row r="94" x14ac:dyDescent="0.2"/>
    <row r="95" x14ac:dyDescent="0.2"/>
    <row r="96" x14ac:dyDescent="0.2"/>
    <row r="97" x14ac:dyDescent="0.2"/>
    <row r="98" x14ac:dyDescent="0.2"/>
    <row r="99" x14ac:dyDescent="0.2"/>
    <row r="100" x14ac:dyDescent="0.2"/>
    <row r="101" x14ac:dyDescent="0.2"/>
    <row r="102" x14ac:dyDescent="0.2"/>
    <row r="103" x14ac:dyDescent="0.2"/>
    <row r="104" x14ac:dyDescent="0.2"/>
    <row r="105" x14ac:dyDescent="0.2"/>
    <row r="106" x14ac:dyDescent="0.2"/>
    <row r="107" x14ac:dyDescent="0.2"/>
    <row r="108" x14ac:dyDescent="0.2"/>
    <row r="109" x14ac:dyDescent="0.2"/>
    <row r="110" x14ac:dyDescent="0.2"/>
    <row r="111" x14ac:dyDescent="0.2"/>
    <row r="112" x14ac:dyDescent="0.2"/>
    <row r="113" x14ac:dyDescent="0.2"/>
    <row r="114" x14ac:dyDescent="0.2"/>
    <row r="115" x14ac:dyDescent="0.2"/>
    <row r="116" x14ac:dyDescent="0.2"/>
    <row r="117" x14ac:dyDescent="0.2"/>
    <row r="118" x14ac:dyDescent="0.2"/>
    <row r="119" x14ac:dyDescent="0.2"/>
    <row r="120" x14ac:dyDescent="0.2"/>
    <row r="121" x14ac:dyDescent="0.2"/>
    <row r="122" x14ac:dyDescent="0.2"/>
    <row r="123" x14ac:dyDescent="0.2"/>
    <row r="124" x14ac:dyDescent="0.2"/>
    <row r="125" x14ac:dyDescent="0.2"/>
    <row r="126" x14ac:dyDescent="0.2"/>
    <row r="127" x14ac:dyDescent="0.2"/>
    <row r="128" x14ac:dyDescent="0.2"/>
    <row r="129" x14ac:dyDescent="0.2"/>
    <row r="130" x14ac:dyDescent="0.2"/>
    <row r="131" x14ac:dyDescent="0.2"/>
    <row r="132" x14ac:dyDescent="0.2"/>
    <row r="133" x14ac:dyDescent="0.2"/>
    <row r="134" x14ac:dyDescent="0.2"/>
    <row r="135" x14ac:dyDescent="0.2"/>
    <row r="136" x14ac:dyDescent="0.2"/>
    <row r="137" x14ac:dyDescent="0.2"/>
    <row r="138" x14ac:dyDescent="0.2"/>
    <row r="139" x14ac:dyDescent="0.2"/>
    <row r="140" x14ac:dyDescent="0.2"/>
    <row r="141" x14ac:dyDescent="0.2"/>
    <row r="142" x14ac:dyDescent="0.2"/>
    <row r="143" x14ac:dyDescent="0.2"/>
    <row r="144" x14ac:dyDescent="0.2"/>
    <row r="145" x14ac:dyDescent="0.2"/>
    <row r="146" x14ac:dyDescent="0.2"/>
    <row r="147" x14ac:dyDescent="0.2"/>
    <row r="148" x14ac:dyDescent="0.2"/>
    <row r="149" x14ac:dyDescent="0.2"/>
    <row r="150" x14ac:dyDescent="0.2"/>
    <row r="151" x14ac:dyDescent="0.2"/>
    <row r="152" x14ac:dyDescent="0.2"/>
    <row r="153" x14ac:dyDescent="0.2"/>
    <row r="154" x14ac:dyDescent="0.2"/>
    <row r="155" x14ac:dyDescent="0.2"/>
    <row r="156" x14ac:dyDescent="0.2"/>
    <row r="157" x14ac:dyDescent="0.2"/>
    <row r="158" x14ac:dyDescent="0.2"/>
    <row r="159" x14ac:dyDescent="0.2"/>
    <row r="160" x14ac:dyDescent="0.2"/>
    <row r="161" ht="15" customHeight="1" x14ac:dyDescent="0.2"/>
    <row r="162" x14ac:dyDescent="0.2"/>
    <row r="163" x14ac:dyDescent="0.2"/>
    <row r="164" x14ac:dyDescent="0.2"/>
    <row r="165" x14ac:dyDescent="0.2"/>
    <row r="166" x14ac:dyDescent="0.2"/>
    <row r="167" x14ac:dyDescent="0.2"/>
    <row r="168" x14ac:dyDescent="0.2"/>
    <row r="169" x14ac:dyDescent="0.2"/>
    <row r="170" x14ac:dyDescent="0.2"/>
    <row r="171" x14ac:dyDescent="0.2"/>
    <row r="172" x14ac:dyDescent="0.2"/>
    <row r="173" x14ac:dyDescent="0.2"/>
    <row r="174" x14ac:dyDescent="0.2"/>
    <row r="175" x14ac:dyDescent="0.2"/>
    <row r="176" x14ac:dyDescent="0.2"/>
    <row r="177" x14ac:dyDescent="0.2"/>
    <row r="178" x14ac:dyDescent="0.2"/>
    <row r="179" x14ac:dyDescent="0.2"/>
    <row r="180" x14ac:dyDescent="0.2"/>
    <row r="181" x14ac:dyDescent="0.2"/>
    <row r="182" x14ac:dyDescent="0.2"/>
    <row r="183" x14ac:dyDescent="0.2"/>
    <row r="184" x14ac:dyDescent="0.2"/>
    <row r="185" x14ac:dyDescent="0.2"/>
    <row r="186" x14ac:dyDescent="0.2"/>
    <row r="187" x14ac:dyDescent="0.2"/>
    <row r="188" x14ac:dyDescent="0.2"/>
    <row r="189" x14ac:dyDescent="0.2"/>
    <row r="190" x14ac:dyDescent="0.2"/>
    <row r="191" x14ac:dyDescent="0.2"/>
    <row r="192" x14ac:dyDescent="0.2"/>
    <row r="193" x14ac:dyDescent="0.2"/>
    <row r="194" x14ac:dyDescent="0.2"/>
    <row r="195" x14ac:dyDescent="0.2"/>
    <row r="196" x14ac:dyDescent="0.2"/>
    <row r="197" x14ac:dyDescent="0.2"/>
    <row r="198" x14ac:dyDescent="0.2"/>
    <row r="199" x14ac:dyDescent="0.2"/>
    <row r="200" x14ac:dyDescent="0.2"/>
    <row r="201" x14ac:dyDescent="0.2"/>
    <row r="202" x14ac:dyDescent="0.2"/>
    <row r="203" x14ac:dyDescent="0.2"/>
    <row r="204" x14ac:dyDescent="0.2"/>
    <row r="205" x14ac:dyDescent="0.2"/>
  </sheetData>
  <mergeCells count="9">
    <mergeCell ref="D14:G14"/>
    <mergeCell ref="H14:O14"/>
    <mergeCell ref="D24:G24"/>
    <mergeCell ref="H24:O24"/>
    <mergeCell ref="B2:C2"/>
    <mergeCell ref="F2:G2"/>
    <mergeCell ref="F4:G4"/>
    <mergeCell ref="F5:O7"/>
    <mergeCell ref="F8:M9"/>
  </mergeCells>
  <conditionalFormatting sqref="U12">
    <cfRule type="iconSet" priority="100">
      <iconSet iconSet="3Symbols" showValue="0" reverse="1">
        <cfvo type="percent" val="0"/>
        <cfvo type="num" val="1"/>
        <cfvo type="num" val="1.05"/>
      </iconSet>
    </cfRule>
  </conditionalFormatting>
  <conditionalFormatting sqref="U16">
    <cfRule type="iconSet" priority="99">
      <iconSet iconSet="3Symbols" showValue="0" reverse="1">
        <cfvo type="percent" val="0"/>
        <cfvo type="num" val="1"/>
        <cfvo type="num" val="1.05"/>
      </iconSet>
    </cfRule>
  </conditionalFormatting>
  <conditionalFormatting sqref="Q17:Q19">
    <cfRule type="iconSet" priority="97">
      <iconSet iconSet="3Symbols" showValue="0" reverse="1">
        <cfvo type="percent" val="0"/>
        <cfvo type="num" val="1"/>
        <cfvo type="num" val="1.05"/>
      </iconSet>
    </cfRule>
  </conditionalFormatting>
  <conditionalFormatting sqref="P16">
    <cfRule type="iconSet" priority="89">
      <iconSet iconSet="3Symbols" showValue="0" reverse="1">
        <cfvo type="percent" val="0"/>
        <cfvo type="num" val="1"/>
        <cfvo type="num" val="1.05"/>
      </iconSet>
    </cfRule>
  </conditionalFormatting>
  <conditionalFormatting sqref="F17">
    <cfRule type="cellIs" dxfId="36" priority="79" operator="greaterThan">
      <formula>0</formula>
    </cfRule>
    <cfRule type="cellIs" dxfId="35" priority="80" operator="lessThanOrEqual">
      <formula>0</formula>
    </cfRule>
  </conditionalFormatting>
  <conditionalFormatting sqref="U17:U19">
    <cfRule type="iconSet" priority="102">
      <iconSet iconSet="3Symbols" showValue="0" reverse="1">
        <cfvo type="percent" val="0"/>
        <cfvo type="num" val="1"/>
        <cfvo type="num" val="1.05"/>
      </iconSet>
    </cfRule>
  </conditionalFormatting>
  <conditionalFormatting sqref="P17:P19">
    <cfRule type="iconSet" priority="103">
      <iconSet iconSet="3Symbols" showValue="0" reverse="1">
        <cfvo type="percent" val="0"/>
        <cfvo type="num" val="1"/>
        <cfvo type="num" val="1.05"/>
      </iconSet>
    </cfRule>
  </conditionalFormatting>
  <conditionalFormatting sqref="Q20">
    <cfRule type="iconSet" priority="59">
      <iconSet iconSet="3Symbols" showValue="0" reverse="1">
        <cfvo type="percent" val="0"/>
        <cfvo type="num" val="1"/>
        <cfvo type="num" val="1.05"/>
      </iconSet>
    </cfRule>
  </conditionalFormatting>
  <conditionalFormatting sqref="N20">
    <cfRule type="cellIs" dxfId="34" priority="57" operator="lessThan">
      <formula>0</formula>
    </cfRule>
    <cfRule type="cellIs" dxfId="33" priority="58" operator="greaterThan">
      <formula>0</formula>
    </cfRule>
  </conditionalFormatting>
  <conditionalFormatting sqref="U20">
    <cfRule type="iconSet" priority="60">
      <iconSet iconSet="3Symbols" showValue="0" reverse="1">
        <cfvo type="percent" val="0"/>
        <cfvo type="num" val="1"/>
        <cfvo type="num" val="1.05"/>
      </iconSet>
    </cfRule>
  </conditionalFormatting>
  <conditionalFormatting sqref="P20">
    <cfRule type="iconSet" priority="61">
      <iconSet iconSet="3Symbols" showValue="0" reverse="1">
        <cfvo type="percent" val="0"/>
        <cfvo type="num" val="1"/>
        <cfvo type="num" val="1.05"/>
      </iconSet>
    </cfRule>
  </conditionalFormatting>
  <conditionalFormatting sqref="N30">
    <cfRule type="cellIs" dxfId="32" priority="49" operator="lessThan">
      <formula>0</formula>
    </cfRule>
    <cfRule type="cellIs" dxfId="31" priority="50" operator="greaterThan">
      <formula>0</formula>
    </cfRule>
  </conditionalFormatting>
  <conditionalFormatting sqref="F20">
    <cfRule type="cellIs" dxfId="30" priority="39" operator="greaterThan">
      <formula>0</formula>
    </cfRule>
    <cfRule type="cellIs" dxfId="29" priority="40" operator="lessThanOrEqual">
      <formula>0</formula>
    </cfRule>
  </conditionalFormatting>
  <conditionalFormatting sqref="F27">
    <cfRule type="cellIs" dxfId="28" priority="37" operator="greaterThan">
      <formula>0</formula>
    </cfRule>
    <cfRule type="cellIs" dxfId="27" priority="38" operator="lessThanOrEqual">
      <formula>0</formula>
    </cfRule>
  </conditionalFormatting>
  <conditionalFormatting sqref="F30">
    <cfRule type="cellIs" dxfId="26" priority="35" operator="greaterThan">
      <formula>0</formula>
    </cfRule>
    <cfRule type="cellIs" dxfId="25" priority="36" operator="lessThanOrEqual">
      <formula>0</formula>
    </cfRule>
  </conditionalFormatting>
  <conditionalFormatting sqref="G17">
    <cfRule type="cellIs" dxfId="24" priority="33" operator="greaterThanOrEqual">
      <formula>1</formula>
    </cfRule>
  </conditionalFormatting>
  <conditionalFormatting sqref="G20">
    <cfRule type="cellIs" dxfId="23" priority="32" operator="greaterThanOrEqual">
      <formula>1</formula>
    </cfRule>
  </conditionalFormatting>
  <conditionalFormatting sqref="G27">
    <cfRule type="cellIs" dxfId="22" priority="31" operator="greaterThanOrEqual">
      <formula>1</formula>
    </cfRule>
  </conditionalFormatting>
  <conditionalFormatting sqref="G30">
    <cfRule type="cellIs" dxfId="21" priority="30" operator="greaterThanOrEqual">
      <formula>1</formula>
    </cfRule>
  </conditionalFormatting>
  <conditionalFormatting sqref="K20">
    <cfRule type="cellIs" dxfId="20" priority="26" operator="greaterThan">
      <formula>0</formula>
    </cfRule>
    <cfRule type="cellIs" dxfId="19" priority="27" operator="lessThanOrEqual">
      <formula>0</formula>
    </cfRule>
  </conditionalFormatting>
  <conditionalFormatting sqref="K30">
    <cfRule type="cellIs" dxfId="18" priority="22" operator="greaterThan">
      <formula>0</formula>
    </cfRule>
    <cfRule type="cellIs" dxfId="17" priority="23" operator="lessThanOrEqual">
      <formula>0</formula>
    </cfRule>
  </conditionalFormatting>
  <conditionalFormatting sqref="N19">
    <cfRule type="cellIs" dxfId="16" priority="20" operator="lessThan">
      <formula>0</formula>
    </cfRule>
    <cfRule type="cellIs" dxfId="15" priority="21" operator="greaterThan">
      <formula>0</formula>
    </cfRule>
  </conditionalFormatting>
  <conditionalFormatting sqref="F18:F19">
    <cfRule type="cellIs" dxfId="14" priority="18" operator="greaterThan">
      <formula>0</formula>
    </cfRule>
    <cfRule type="cellIs" dxfId="13" priority="19" operator="lessThanOrEqual">
      <formula>0</formula>
    </cfRule>
  </conditionalFormatting>
  <conditionalFormatting sqref="G18:G19">
    <cfRule type="cellIs" dxfId="12" priority="17" operator="greaterThanOrEqual">
      <formula>1</formula>
    </cfRule>
  </conditionalFormatting>
  <conditionalFormatting sqref="K19">
    <cfRule type="cellIs" dxfId="11" priority="15" operator="greaterThan">
      <formula>0</formula>
    </cfRule>
    <cfRule type="cellIs" dxfId="10" priority="16" operator="lessThanOrEqual">
      <formula>0</formula>
    </cfRule>
  </conditionalFormatting>
  <conditionalFormatting sqref="F28">
    <cfRule type="cellIs" dxfId="9" priority="11" operator="greaterThan">
      <formula>0</formula>
    </cfRule>
    <cfRule type="cellIs" dxfId="8" priority="12" operator="lessThanOrEqual">
      <formula>0</formula>
    </cfRule>
  </conditionalFormatting>
  <conditionalFormatting sqref="G28">
    <cfRule type="cellIs" dxfId="7" priority="10" operator="greaterThanOrEqual">
      <formula>1</formula>
    </cfRule>
  </conditionalFormatting>
  <conditionalFormatting sqref="N29">
    <cfRule type="cellIs" dxfId="6" priority="6" operator="lessThan">
      <formula>0</formula>
    </cfRule>
    <cfRule type="cellIs" dxfId="5" priority="7" operator="greaterThan">
      <formula>0</formula>
    </cfRule>
  </conditionalFormatting>
  <conditionalFormatting sqref="F29">
    <cfRule type="cellIs" dxfId="4" priority="4" operator="greaterThan">
      <formula>0</formula>
    </cfRule>
    <cfRule type="cellIs" dxfId="3" priority="5" operator="lessThanOrEqual">
      <formula>0</formula>
    </cfRule>
  </conditionalFormatting>
  <conditionalFormatting sqref="G29">
    <cfRule type="cellIs" dxfId="2" priority="3" operator="greaterThanOrEqual">
      <formula>1</formula>
    </cfRule>
  </conditionalFormatting>
  <conditionalFormatting sqref="K29">
    <cfRule type="cellIs" dxfId="1" priority="1" operator="greaterThan">
      <formula>0</formula>
    </cfRule>
    <cfRule type="cellIs" dxfId="0" priority="2" operator="lessThan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SendMsg_Click">
                <anchor moveWithCells="1" sizeWithCells="1">
                  <from>
                    <xdr:col>13</xdr:col>
                    <xdr:colOff>447675</xdr:colOff>
                    <xdr:row>7</xdr:row>
                    <xdr:rowOff>152400</xdr:rowOff>
                  </from>
                  <to>
                    <xdr:col>15</xdr:col>
                    <xdr:colOff>0</xdr:colOff>
                    <xdr:row>8</xdr:row>
                    <xdr:rowOff>266700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2017-06-24T15:53:34Z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SAVE_PATH_">
    <vt:lpwstr>SAVE_PATH</vt:lpwstr>
  </property>
</Properties>
</file>