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30465" yWindow="-15" windowWidth="15600" windowHeight="7605"/>
  </bookViews>
  <sheets>
    <sheet name="Report" sheetId="1" r:id="rId1"/>
  </sheets>
  <calcPr calcId="162913"/>
</workbook>
</file>

<file path=xl/calcChain.xml><?xml version="1.0" encoding="utf-8"?>
<calcChain xmlns="http://schemas.openxmlformats.org/spreadsheetml/2006/main">
  <c r="G29" i="1" l="1"/>
  <c r="F29" i="1"/>
  <c r="G18" i="1"/>
  <c r="F18" i="1"/>
  <c r="K20" i="1" l="1"/>
  <c r="J20" i="1"/>
  <c r="M31" i="1"/>
  <c r="O31" i="1" s="1"/>
  <c r="K31" i="1"/>
  <c r="J31" i="1"/>
  <c r="G31" i="1"/>
  <c r="F31" i="1"/>
  <c r="G30" i="1"/>
  <c r="F30" i="1"/>
  <c r="M20" i="1"/>
  <c r="O20" i="1" s="1"/>
  <c r="G20" i="1"/>
  <c r="F20" i="1"/>
  <c r="G19" i="1"/>
  <c r="F19" i="1"/>
  <c r="N31" i="1" l="1"/>
  <c r="N20" i="1"/>
  <c r="K32" i="1" l="1"/>
  <c r="K21" i="1"/>
  <c r="F32" i="1" l="1"/>
  <c r="F28" i="1"/>
  <c r="F21" i="1"/>
  <c r="F17" i="1"/>
  <c r="G32" i="1" l="1"/>
  <c r="G28" i="1"/>
  <c r="G21" i="1"/>
  <c r="G17" i="1"/>
  <c r="M32" i="1" l="1"/>
  <c r="O32" i="1" s="1"/>
  <c r="M21" i="1"/>
  <c r="O21" i="1" s="1"/>
  <c r="J32" i="1" l="1"/>
  <c r="J21" i="1" l="1"/>
  <c r="N32" i="1" l="1"/>
  <c r="N21"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<sst xmlns="http://schemas.openxmlformats.org/spreadsheetml/2006/main" count="79" uniqueCount="50">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</sst>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80" t="s">
        <v>5</v>
      </c>
      <c r="C2" s="81"/>
      <c r="D2" s="26"/>
      <c r="E2" s="4"/>
      <c r="F2" s="82" t="s">
        <v>12</v>
      </c>
      <c r="G2" s="83"/>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84" t="s">
        <v>4</v>
      </c>
      <c r="G4" s="85"/>
      <c r="N4" s="6"/>
    </row>
    <row r="5" spans="1:16" s="7" customFormat="1" ht="33.75" customHeight="1" thickBot="1" x14ac:dyDescent="0.25">
      <c r="A5" s="5"/>
      <c r="B5" s="9" t="s">
        <v>0</v>
      </c>
      <c r="C5" s="10" t="s">
        <v>29</v>
      </c>
      <c r="D5" s="13"/>
      <c r="E5" s="6"/>
      <c r="F5" s="86"/>
      <c r="G5" s="87"/>
      <c r="H5" s="87"/>
      <c r="I5" s="87"/>
      <c r="J5" s="87"/>
      <c r="K5" s="87"/>
      <c r="L5" s="87"/>
      <c r="M5" s="87"/>
      <c r="N5" s="88"/>
      <c r="O5" s="89"/>
    </row>
    <row r="6" spans="1:16" s="7" customFormat="1" ht="33.75" customHeight="1" thickBot="1" x14ac:dyDescent="0.25">
      <c r="A6" s="5"/>
      <c r="B6" s="34" t="s">
        <v>9</v>
      </c>
      <c r="C6" s="35" t="s">
        <v>29</v>
      </c>
      <c r="D6" s="27"/>
      <c r="E6" s="6"/>
      <c r="F6" s="90"/>
      <c r="G6" s="91"/>
      <c r="H6" s="91"/>
      <c r="I6" s="91"/>
      <c r="J6" s="91"/>
      <c r="K6" s="91"/>
      <c r="L6" s="91"/>
      <c r="M6" s="91"/>
      <c r="N6" s="92"/>
      <c r="O6" s="93"/>
    </row>
    <row r="7" spans="1:16" s="7" customFormat="1" ht="33.75" customHeight="1" thickBot="1" x14ac:dyDescent="0.25">
      <c r="A7" s="5"/>
      <c r="B7" s="9" t="s">
        <v>10</v>
      </c>
      <c r="C7" s="23" t="s">
        <v>29</v>
      </c>
      <c r="D7" s="27"/>
      <c r="E7" s="6"/>
      <c r="F7" s="94"/>
      <c r="G7" s="95"/>
      <c r="H7" s="95"/>
      <c r="I7" s="95"/>
      <c r="J7" s="95"/>
      <c r="K7" s="95"/>
      <c r="L7" s="95"/>
      <c r="M7" s="95"/>
      <c r="N7" s="96"/>
      <c r="O7" s="97"/>
    </row>
    <row r="8" spans="1:16" s="7" customFormat="1" ht="33.75" customHeight="1" x14ac:dyDescent="0.2">
      <c r="A8" s="5"/>
      <c r="B8" s="9" t="s">
        <v>1</v>
      </c>
      <c r="C8" s="10" t="s">
        <v>29</v>
      </c>
      <c r="D8" s="13"/>
      <c r="E8" s="6"/>
      <c r="F8" s="98" t="s">
        <v>38</v>
      </c>
      <c r="G8" s="99"/>
      <c r="H8" s="99"/>
      <c r="I8" s="99"/>
      <c r="J8" s="99"/>
      <c r="K8" s="99"/>
      <c r="L8" s="99"/>
      <c r="M8" s="99"/>
      <c r="N8" s="6"/>
    </row>
    <row r="9" spans="1:16" s="7" customFormat="1" ht="33.75" customHeight="1" thickBot="1" x14ac:dyDescent="0.25">
      <c r="A9" s="5"/>
      <c r="B9" s="11"/>
      <c r="C9" s="24"/>
      <c r="D9" s="28"/>
      <c r="E9" s="6"/>
      <c r="F9" s="100"/>
      <c r="G9" s="100"/>
      <c r="H9" s="100"/>
      <c r="I9" s="100"/>
      <c r="J9" s="100"/>
      <c r="K9" s="100"/>
      <c r="L9" s="100"/>
      <c r="M9" s="100"/>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7" t="s">
        <v>39</v>
      </c>
      <c r="E14" s="78"/>
      <c r="F14" s="78"/>
      <c r="G14" s="79"/>
      <c r="H14" s="77" t="s">
        <v>40</v>
      </c>
      <c r="I14" s="78"/>
      <c r="J14" s="78"/>
      <c r="K14" s="78"/>
      <c r="L14" s="78"/>
      <c r="M14" s="78"/>
      <c r="N14" s="78"/>
      <c r="O14" s="79"/>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70"/>
      <c r="P17" s="29"/>
      <c r="Q17" s="30"/>
      <c r="R17" s="31"/>
      <c r="S17" s="31"/>
    </row>
    <row r="18" spans="1:19" s="7" customFormat="1" x14ac:dyDescent="0.2">
      <c r="A18" s="5"/>
      <c r="B18" s="45"/>
      <c r="C18" s="46"/>
      <c r="D18" s="45">
        <v>2</v>
      </c>
      <c r="E18" s="19">
        <v>1</v>
      </c>
      <c r="F18" s="19">
        <f t="shared" ref="F18" si="0">MAX(D18-E18, 0)</f>
        <v>1</v>
      </c>
      <c r="G18" s="47">
        <f t="shared" ref="G18" si="1">IF(D18=0,0,ABS(E18/D18))</f>
        <v>0.5</v>
      </c>
      <c r="H18" s="72"/>
      <c r="I18" s="73"/>
      <c r="J18" s="73"/>
      <c r="K18" s="74"/>
      <c r="L18" s="19">
        <v>1</v>
      </c>
      <c r="M18" s="75"/>
      <c r="N18" s="73"/>
      <c r="O18" s="76"/>
      <c r="P18" s="29"/>
      <c r="Q18" s="30"/>
      <c r="R18" s="31"/>
      <c r="S18" s="31"/>
    </row>
    <row r="19" spans="1:19" s="7" customFormat="1" x14ac:dyDescent="0.2">
      <c r="A19" s="5"/>
      <c r="B19" s="45"/>
      <c r="C19" s="46"/>
      <c r="D19" s="45">
        <v>2</v>
      </c>
      <c r="E19" s="19">
        <v>1</v>
      </c>
      <c r="F19" s="19">
        <f t="shared" ref="F19:F20" si="2">MAX(D19-E19, 0)</f>
        <v>1</v>
      </c>
      <c r="G19" s="47">
        <f t="shared" ref="G19:G20" si="3">IF(D19=0,0,ABS(E19/D19))</f>
        <v>0.5</v>
      </c>
      <c r="H19" s="72"/>
      <c r="I19" s="73"/>
      <c r="J19" s="73"/>
      <c r="K19" s="74"/>
      <c r="L19" s="19">
        <v>1</v>
      </c>
      <c r="M19" s="57"/>
      <c r="N19" s="54"/>
      <c r="O19" s="71"/>
      <c r="P19" s="29"/>
      <c r="Q19" s="30"/>
      <c r="R19" s="31"/>
      <c r="S19" s="31"/>
    </row>
    <row r="20" spans="1:19" s="7" customFormat="1" x14ac:dyDescent="0.2">
      <c r="A20" s="5"/>
      <c r="B20" s="58" t="s">
        <v>49</v>
      </c>
      <c r="C20" s="59"/>
      <c r="D20" s="58">
        <v>2</v>
      </c>
      <c r="E20" s="60">
        <v>1</v>
      </c>
      <c r="F20" s="60">
        <f t="shared" si="2"/>
        <v>1</v>
      </c>
      <c r="G20" s="61">
        <f t="shared" si="3"/>
        <v>0.5</v>
      </c>
      <c r="H20" s="58">
        <v>1</v>
      </c>
      <c r="I20" s="60">
        <v>2</v>
      </c>
      <c r="J20" s="62">
        <f t="shared" ref="J20" si="4">IF(H20=0,"No plan at start",I20/H20)</f>
        <v>2</v>
      </c>
      <c r="K20" s="60">
        <f>MAX(H20-I20, 0)</f>
        <v>0</v>
      </c>
      <c r="L20" s="60">
        <v>1</v>
      </c>
      <c r="M20" s="60">
        <f t="shared" ref="M20" si="5">I20+L20</f>
        <v>3</v>
      </c>
      <c r="N20" s="60">
        <f t="shared" ref="N20" si="6">M20-H20</f>
        <v>2</v>
      </c>
      <c r="O20" s="61">
        <f t="shared" ref="O20" si="7">IF(H20=0,"No plan at start",M20/H20)</f>
        <v>3</v>
      </c>
      <c r="P20" s="29"/>
      <c r="Q20" s="30"/>
      <c r="R20" s="31"/>
      <c r="S20" s="31"/>
    </row>
    <row r="21" spans="1:19" s="7" customFormat="1" ht="13.5" thickBot="1" x14ac:dyDescent="0.25">
      <c r="A21" s="5"/>
      <c r="B21" s="63" t="s">
        <v>49</v>
      </c>
      <c r="C21" s="64"/>
      <c r="D21" s="63">
        <v>0</v>
      </c>
      <c r="E21" s="65">
        <v>4</v>
      </c>
      <c r="F21" s="65">
        <f>MAX(D21-E21, 0)</f>
        <v>0</v>
      </c>
      <c r="G21" s="66">
        <f>IF(D21=0,0,ABS(E21/D21))</f>
        <v>0</v>
      </c>
      <c r="H21" s="63">
        <v>2</v>
      </c>
      <c r="I21" s="65">
        <v>1</v>
      </c>
      <c r="J21" s="67">
        <f t="shared" ref="J21" si="8">IF(H21=0,"No plan at start",I21/H21)</f>
        <v>0.5</v>
      </c>
      <c r="K21" s="65">
        <f>MAX(H21-I21, 0)</f>
        <v>1</v>
      </c>
      <c r="L21" s="65">
        <v>5</v>
      </c>
      <c r="M21" s="65">
        <f>I21+L21</f>
        <v>6</v>
      </c>
      <c r="N21" s="65">
        <f>M21-H21</f>
        <v>4</v>
      </c>
      <c r="O21" s="66">
        <f>IF(H21=0,"No plan at start",M21/H21)</f>
        <v>3</v>
      </c>
      <c r="P21" s="29"/>
      <c r="Q21" s="30"/>
      <c r="R21" s="31"/>
      <c r="S21" s="31"/>
    </row>
    <row r="22" spans="1:19" s="7" customFormat="1" ht="28.5" customHeight="1" x14ac:dyDescent="0.2">
      <c r="A22" s="5"/>
      <c r="B22" s="20"/>
      <c r="C22" s="20"/>
      <c r="D22" s="20"/>
      <c r="E22" s="20"/>
      <c r="F22" s="20"/>
      <c r="G22" s="20"/>
      <c r="H22" s="20"/>
      <c r="I22" s="20"/>
      <c r="J22" s="20"/>
      <c r="K22" s="20"/>
      <c r="L22" s="20"/>
      <c r="M22" s="20"/>
      <c r="N22" s="20"/>
      <c r="O22" s="20"/>
    </row>
    <row r="23" spans="1:19" x14ac:dyDescent="0.2">
      <c r="B23" s="14" t="s">
        <v>30</v>
      </c>
      <c r="C23" s="15"/>
      <c r="D23" s="15"/>
      <c r="E23" s="15"/>
      <c r="F23" s="16"/>
      <c r="G23" s="16"/>
      <c r="H23" s="17"/>
      <c r="I23" s="7"/>
      <c r="J23" s="7"/>
      <c r="K23" s="18"/>
      <c r="L23" s="7"/>
      <c r="M23" s="25"/>
      <c r="N23" s="7"/>
      <c r="O23" s="7"/>
    </row>
    <row r="24" spans="1:19" ht="13.5" thickBot="1" x14ac:dyDescent="0.25">
      <c r="B24" s="7"/>
      <c r="C24" s="7"/>
      <c r="D24" s="7"/>
      <c r="E24" s="7"/>
      <c r="F24" s="7"/>
      <c r="G24" s="7"/>
      <c r="H24" s="7"/>
      <c r="I24" s="7"/>
      <c r="J24" s="7"/>
      <c r="K24" s="7"/>
      <c r="L24" s="7"/>
      <c r="M24" s="7"/>
      <c r="N24" s="7"/>
      <c r="O24" s="7"/>
    </row>
    <row r="25" spans="1:19" x14ac:dyDescent="0.2">
      <c r="B25" s="48"/>
      <c r="C25" s="49"/>
      <c r="D25" s="77" t="s">
        <v>39</v>
      </c>
      <c r="E25" s="78"/>
      <c r="F25" s="78"/>
      <c r="G25" s="79"/>
      <c r="H25" s="77" t="s">
        <v>40</v>
      </c>
      <c r="I25" s="78"/>
      <c r="J25" s="78"/>
      <c r="K25" s="78"/>
      <c r="L25" s="78"/>
      <c r="M25" s="78"/>
      <c r="N25" s="78"/>
      <c r="O25" s="79"/>
    </row>
    <row r="26" spans="1:19" x14ac:dyDescent="0.2">
      <c r="B26" s="68"/>
      <c r="C26" s="69"/>
      <c r="D26" s="36" t="s">
        <v>2</v>
      </c>
      <c r="E26" s="38" t="s">
        <v>3</v>
      </c>
      <c r="F26" s="38" t="s">
        <v>44</v>
      </c>
      <c r="G26" s="37" t="s">
        <v>41</v>
      </c>
      <c r="H26" s="36" t="s">
        <v>20</v>
      </c>
      <c r="I26" s="38" t="s">
        <v>34</v>
      </c>
      <c r="J26" s="39" t="s">
        <v>35</v>
      </c>
      <c r="K26" s="39" t="s">
        <v>36</v>
      </c>
      <c r="L26" s="38" t="s">
        <v>19</v>
      </c>
      <c r="M26" s="38" t="s">
        <v>37</v>
      </c>
      <c r="N26" s="38" t="s">
        <v>22</v>
      </c>
      <c r="O26" s="37" t="s">
        <v>23</v>
      </c>
    </row>
    <row r="27" spans="1:19" ht="76.5" x14ac:dyDescent="0.2">
      <c r="B27" s="40" t="s">
        <v>14</v>
      </c>
      <c r="C27" s="41" t="s">
        <v>28</v>
      </c>
      <c r="D27" s="40" t="s">
        <v>45</v>
      </c>
      <c r="E27" s="42" t="s">
        <v>15</v>
      </c>
      <c r="F27" s="42" t="s">
        <v>42</v>
      </c>
      <c r="G27" s="41" t="s">
        <v>43</v>
      </c>
      <c r="H27" s="40" t="s">
        <v>46</v>
      </c>
      <c r="I27" s="42" t="s">
        <v>31</v>
      </c>
      <c r="J27" s="43" t="s">
        <v>47</v>
      </c>
      <c r="K27" s="43" t="s">
        <v>17</v>
      </c>
      <c r="L27" s="42" t="s">
        <v>48</v>
      </c>
      <c r="M27" s="42" t="s">
        <v>32</v>
      </c>
      <c r="N27" s="42" t="s">
        <v>33</v>
      </c>
      <c r="O27" s="41" t="s">
        <v>24</v>
      </c>
    </row>
    <row r="28" spans="1:19" x14ac:dyDescent="0.2">
      <c r="B28" s="45"/>
      <c r="C28" s="46"/>
      <c r="D28" s="45">
        <v>2</v>
      </c>
      <c r="E28" s="19">
        <v>1</v>
      </c>
      <c r="F28" s="19">
        <f>MAX(D28-E28, 0)</f>
        <v>1</v>
      </c>
      <c r="G28" s="47">
        <f>IF(D28=0,0,ABS(E28/D28))</f>
        <v>0.5</v>
      </c>
      <c r="H28" s="52"/>
      <c r="I28" s="50"/>
      <c r="J28" s="50"/>
      <c r="K28" s="51"/>
      <c r="L28" s="19">
        <v>1</v>
      </c>
      <c r="M28" s="50"/>
      <c r="N28" s="50"/>
      <c r="O28" s="70"/>
    </row>
    <row r="29" spans="1:19" x14ac:dyDescent="0.2">
      <c r="B29" s="45"/>
      <c r="C29" s="46"/>
      <c r="D29" s="45">
        <v>2</v>
      </c>
      <c r="E29" s="19">
        <v>1</v>
      </c>
      <c r="F29" s="19">
        <f>MAX(D29-E29, 0)</f>
        <v>1</v>
      </c>
      <c r="G29" s="47">
        <f>IF(D29=0,0,ABS(E29/D29))</f>
        <v>0.5</v>
      </c>
      <c r="H29" s="72"/>
      <c r="I29" s="73"/>
      <c r="J29" s="73"/>
      <c r="K29" s="74"/>
      <c r="L29" s="19">
        <v>1</v>
      </c>
      <c r="M29" s="73"/>
      <c r="N29" s="73"/>
      <c r="O29" s="76"/>
    </row>
    <row r="30" spans="1:19" x14ac:dyDescent="0.2">
      <c r="B30" s="45"/>
      <c r="C30" s="46"/>
      <c r="D30" s="45">
        <v>2</v>
      </c>
      <c r="E30" s="19">
        <v>1</v>
      </c>
      <c r="F30" s="19">
        <f>MAX(D30-E30, 0)</f>
        <v>1</v>
      </c>
      <c r="G30" s="47">
        <f>IF(D30=0,0,ABS(E30/D30))</f>
        <v>0.5</v>
      </c>
      <c r="H30" s="53"/>
      <c r="I30" s="54"/>
      <c r="J30" s="54"/>
      <c r="K30" s="55"/>
      <c r="L30" s="19">
        <v>1</v>
      </c>
      <c r="M30" s="54"/>
      <c r="N30" s="54"/>
      <c r="O30" s="71"/>
    </row>
    <row r="31" spans="1:19" x14ac:dyDescent="0.2">
      <c r="B31" s="58" t="s">
        <v>49</v>
      </c>
      <c r="C31" s="59"/>
      <c r="D31" s="58">
        <v>2</v>
      </c>
      <c r="E31" s="60">
        <v>1</v>
      </c>
      <c r="F31" s="60">
        <f>MAX(D31-E31, 0)</f>
        <v>1</v>
      </c>
      <c r="G31" s="61">
        <f>IF(D31=0,0,ABS(E31/D31))</f>
        <v>0.5</v>
      </c>
      <c r="H31" s="58">
        <v>1</v>
      </c>
      <c r="I31" s="60">
        <v>2</v>
      </c>
      <c r="J31" s="62">
        <f>IF(H31=0,"No plan at start",I31/H31)</f>
        <v>2</v>
      </c>
      <c r="K31" s="60">
        <f>MAX(H31-I31, 0)</f>
        <v>0</v>
      </c>
      <c r="L31" s="60">
        <v>1</v>
      </c>
      <c r="M31" s="60">
        <f>I31+L31</f>
        <v>3</v>
      </c>
      <c r="N31" s="60">
        <f>M31-H31</f>
        <v>2</v>
      </c>
      <c r="O31" s="61">
        <f>IF(H31=0,"No plan at start",M31/H31)</f>
        <v>3</v>
      </c>
    </row>
    <row r="32" spans="1:19" ht="13.5" thickBot="1" x14ac:dyDescent="0.25">
      <c r="B32" s="63" t="s">
        <v>49</v>
      </c>
      <c r="C32" s="64"/>
      <c r="D32" s="63">
        <v>1</v>
      </c>
      <c r="E32" s="65">
        <v>4</v>
      </c>
      <c r="F32" s="65">
        <f>MAX(D32-E32, 0)</f>
        <v>0</v>
      </c>
      <c r="G32" s="66">
        <f>IF(D32=0,0,ABS(E32/D32))</f>
        <v>4</v>
      </c>
      <c r="H32" s="63">
        <v>2</v>
      </c>
      <c r="I32" s="65">
        <v>1</v>
      </c>
      <c r="J32" s="67">
        <f t="shared" ref="J32" si="9">IF(H32=0,"No plan at start",I32/H32)</f>
        <v>0.5</v>
      </c>
      <c r="K32" s="65">
        <f>MAX(H32-I32,0)</f>
        <v>1</v>
      </c>
      <c r="L32" s="65">
        <v>5</v>
      </c>
      <c r="M32" s="65">
        <f>I32+L32</f>
        <v>6</v>
      </c>
      <c r="N32" s="65">
        <f>M32-H32</f>
        <v>4</v>
      </c>
      <c r="O32" s="66">
        <f>IF(H32=0,"No plan at start",M32/H32)</f>
        <v>3</v>
      </c>
    </row>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ht="15" customHeight="1"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9">
    <mergeCell ref="D14:G14"/>
    <mergeCell ref="H14:O14"/>
    <mergeCell ref="D25:G25"/>
    <mergeCell ref="H25:O25"/>
    <mergeCell ref="B2:C2"/>
    <mergeCell ref="F2:G2"/>
    <mergeCell ref="F4:G4"/>
    <mergeCell ref="F5:O7"/>
    <mergeCell ref="F8:M9"/>
  </mergeCells>
  <conditionalFormatting sqref="F17">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